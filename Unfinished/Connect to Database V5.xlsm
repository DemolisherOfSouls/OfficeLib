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Important\Templates\Unfinished\"/>
    </mc:Choice>
  </mc:AlternateContent>
  <xr:revisionPtr revIDLastSave="0" documentId="13_ncr:1_{65BA590F-8FC4-4C09-83A2-B08F6D477659}" xr6:coauthVersionLast="47" xr6:coauthVersionMax="47" xr10:uidLastSave="{00000000-0000-0000-0000-000000000000}"/>
  <bookViews>
    <workbookView xWindow="-23355" yWindow="1755" windowWidth="20910" windowHeight="11835" xr2:uid="{00000000-000D-0000-FFFF-FFFF00000000}"/>
  </bookViews>
  <sheets>
    <sheet name="Setup" sheetId="5" r:id="rId1"/>
    <sheet name="Calculations" sheetId="1" r:id="rId2"/>
    <sheet name="Table" sheetId="6" r:id="rId3"/>
    <sheet name="Graphical Analysis" sheetId="7" r:id="rId4"/>
    <sheet name="Sheet2" sheetId="8" r:id="rId5"/>
    <sheet name="ListPop" sheetId="9" r:id="rId6"/>
  </sheets>
  <functionGroups builtInGroupCount="19"/>
  <definedNames>
    <definedName name="Belt_Width">Calculations!$F$15</definedName>
    <definedName name="CB5_Weave_Inspection_Comment">Calculations!$J$81</definedName>
    <definedName name="CB5_Weave_Inspection_Plan">Calculations!$J$82</definedName>
    <definedName name="CB5_Weave_Inspection_Spec">Calculations!$J$83</definedName>
    <definedName name="Center_Link_Location">Calculations!$F$20</definedName>
    <definedName name="Check10">Calculations!$C$67</definedName>
    <definedName name="Check11">Calculations!$C$68</definedName>
    <definedName name="Check12">Calculations!$C$69</definedName>
    <definedName name="Check13">Calculations!$C$70</definedName>
    <definedName name="Check14">Calculations!$C$71</definedName>
    <definedName name="Check15">Calculations!$C$72</definedName>
    <definedName name="Check16">Calculations!$C$73</definedName>
    <definedName name="Check17">Calculations!$C$74</definedName>
    <definedName name="Check18">Calculations!$C$75</definedName>
    <definedName name="Check19">Calculations!$C$76</definedName>
    <definedName name="Check2">Calculations!$C$59</definedName>
    <definedName name="Check20">Calculations!$C$77</definedName>
    <definedName name="Check3">Calculations!$C$60</definedName>
    <definedName name="Check4">Calculations!$C$61</definedName>
    <definedName name="Check5">Calculations!$C$62</definedName>
    <definedName name="Check6">Calculations!$C$63</definedName>
    <definedName name="Check7">Calculations!$C$64</definedName>
    <definedName name="Check8">Calculations!$C$65</definedName>
    <definedName name="Check9">Calculations!$C$66</definedName>
    <definedName name="Company">Calculations!$C$6</definedName>
    <definedName name="Conveying_Surface">Calculations!$F$17</definedName>
    <definedName name="Crimp_Depth">Calculations!$F$36</definedName>
    <definedName name="Crimp_Inspection_Comment">Calculations!$J$68</definedName>
    <definedName name="Crimp_Inspection_Plan">Calculations!$J$69</definedName>
    <definedName name="Crimp_Inspection_Spec">Calculations!$J$70</definedName>
    <definedName name="Data1">Calculations!$C$22</definedName>
    <definedName name="Data10">Calculations!$C$31</definedName>
    <definedName name="Data11">Calculations!$C$32</definedName>
    <definedName name="Data12">Calculations!$C$33</definedName>
    <definedName name="Data13">Calculations!$C$34</definedName>
    <definedName name="Data14">Calculations!$C$35</definedName>
    <definedName name="Data15">Calculations!$C$36</definedName>
    <definedName name="Data16">Calculations!$C$37</definedName>
    <definedName name="Data17">Calculations!$C$38</definedName>
    <definedName name="Data18">Calculations!$C$39</definedName>
    <definedName name="Data19">Calculations!$C$40</definedName>
    <definedName name="Data2">Calculations!$C$23</definedName>
    <definedName name="Data20">Calculations!$C$41</definedName>
    <definedName name="Data3">Calculations!$C$24</definedName>
    <definedName name="Data4">Calculations!$C$25</definedName>
    <definedName name="Data5">Calculations!$C$26</definedName>
    <definedName name="Data6">Calculations!$C$27</definedName>
    <definedName name="Data7">Calculations!$C$28</definedName>
    <definedName name="Data8">Calculations!$C$29</definedName>
    <definedName name="Data9">Calculations!$C$30</definedName>
    <definedName name="Department">Setup!#REF!</definedName>
    <definedName name="DwgNum">Calculations!$F$16</definedName>
    <definedName name="Employee_Num">Calculations!$C$12</definedName>
    <definedName name="Fabric_Width">Calculations!$F$37</definedName>
    <definedName name="Failed_Comment">Calculations!$C$21</definedName>
    <definedName name="FirstCount">Calculations!$F$13</definedName>
    <definedName name="Flatwire_Picket_Inspection_Comment">Calculations!$J$102</definedName>
    <definedName name="Flatwire_Picket_Inspection_Plan">Calculations!$J$103</definedName>
    <definedName name="Flatwire_Picket_Inspection_Spec">Calculations!$J$104</definedName>
    <definedName name="Free_Picket_Width">Calculations!$F$38</definedName>
    <definedName name="Grid_Welding_Inspection_Comment">Calculations!$J$116</definedName>
    <definedName name="Grid_Welding_Inspection_Plan">Calculations!$J$117</definedName>
    <definedName name="Grid_Welding_Inspection_Spec">Calculations!$J$118</definedName>
    <definedName name="Inside_Outside_Spiral">Calculations!$E$19:$F$19</definedName>
    <definedName name="Insp_Plan">Calculations!$C$18</definedName>
    <definedName name="Insp_Type">Calculations!$C$8</definedName>
    <definedName name="Inspection_Date">Calculations!$C$10</definedName>
    <definedName name="IO_Spiral">Calculations!$C$15</definedName>
    <definedName name="JobComments">Calculations!$F$6</definedName>
    <definedName name="JobNum">Calculations!$C$7</definedName>
    <definedName name="Loop_Count">Calculations!$F$35</definedName>
    <definedName name="LPartNum">Calculations!$F$22</definedName>
    <definedName name="MeshDesc">Calculations!$F$12</definedName>
    <definedName name="MeshGauge">Calculations!$F$14</definedName>
    <definedName name="Operation_Comment">Calculations!$F$23</definedName>
    <definedName name="PartNum">Calculations!$C$14</definedName>
    <definedName name="Passed">Calculations!$C$20</definedName>
    <definedName name="Plant">Calculations!$C$13</definedName>
    <definedName name="RevNum">Calculations!$C$16</definedName>
    <definedName name="SampleNum">Calculations!$C$9</definedName>
    <definedName name="SC_Inspection_Comment">Calculations!$J$37</definedName>
    <definedName name="SC_Inspection_Plan">Calculations!$J$38</definedName>
    <definedName name="SC_Inspection_Spec">Calculations!$J$39</definedName>
    <definedName name="Schar1">Calculations!$C$42</definedName>
    <definedName name="Schar10">Calculations!$C$48</definedName>
    <definedName name="Schar11">Calculations!$C$49</definedName>
    <definedName name="Schar12">Calculations!$C$50</definedName>
    <definedName name="Schar13">Calculations!$C$51</definedName>
    <definedName name="Schar14">Calculations!$C$52</definedName>
    <definedName name="Schar15">Calculations!$C$53</definedName>
    <definedName name="Schar16">Calculations!$C$54</definedName>
    <definedName name="Schar17">Calculations!$C$55</definedName>
    <definedName name="Schar18">Calculations!$C$56</definedName>
    <definedName name="Schar19">Calculations!$C$57</definedName>
    <definedName name="Schar20">Calculations!$C$58</definedName>
    <definedName name="Schar3">Calculations!$C$43</definedName>
    <definedName name="Schar4">Calculations!$C$44</definedName>
    <definedName name="Schar7">Calculations!$C$45</definedName>
    <definedName name="Schar8">Calculations!$C$46</definedName>
    <definedName name="Schar9">Calculations!$C$47</definedName>
    <definedName name="Setup_Run">Calculations!$F$21</definedName>
    <definedName name="Spec_Id">Calculations!$C$19</definedName>
    <definedName name="Spiral_Inspection_Comment">Calculations!$J$26</definedName>
    <definedName name="Spiral_Inspection_Plan">Calculations!$J$27</definedName>
    <definedName name="Spiral_Inspection_Spec">Calculations!$J$28</definedName>
    <definedName name="Spiral_Size">Calculations!$F$32</definedName>
    <definedName name="Spiral_Thick">Calculations!$F$33</definedName>
    <definedName name="Spiral_Width">Calculations!$F$34</definedName>
    <definedName name="Spirals_Per_Pitch">Calculations!$F$18</definedName>
    <definedName name="Test_Job_Num">Calculations!$F$44</definedName>
    <definedName name="Time">Calculations!$C$11</definedName>
    <definedName name="Value">Calculations!$C$17</definedName>
    <definedName name="Weaving_Inspection_Comment">Calculations!$J$57</definedName>
    <definedName name="Weaving_Inspection_Plan">Calculations!$J$58</definedName>
    <definedName name="Weaving_Inspection_Spec">Calculations!$J$59</definedName>
    <definedName name="Welding_Inspection_Comment">Calculations!$J$45</definedName>
    <definedName name="Welding_Inspection_Plan">Calculations!$J$46</definedName>
    <definedName name="Welding_Inspection_Spec">Calculations!$J$47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1" i="1" l="1"/>
  <c r="BX10" i="6" l="1"/>
  <c r="BU10" i="6"/>
  <c r="BX11" i="6" l="1"/>
  <c r="BU11" i="6"/>
  <c r="BX37" i="6" l="1"/>
  <c r="BU37" i="6"/>
  <c r="BX35" i="6"/>
  <c r="BU35" i="6"/>
  <c r="BU46" i="6" l="1"/>
  <c r="BU45" i="6"/>
  <c r="BU44" i="6"/>
  <c r="BX44" i="6"/>
  <c r="BX45" i="6"/>
  <c r="BX46" i="6"/>
  <c r="Q89" i="1" l="1"/>
  <c r="N89" i="1"/>
  <c r="J39" i="1" l="1"/>
  <c r="J38" i="1"/>
  <c r="J28" i="1"/>
  <c r="J27" i="1"/>
  <c r="BX5" i="6" l="1"/>
  <c r="BX4" i="6"/>
  <c r="AJ8" i="6"/>
  <c r="AK8" i="6"/>
  <c r="AL8" i="6"/>
  <c r="AJ51" i="6" l="1"/>
  <c r="AK51" i="6"/>
  <c r="AL51" i="6"/>
  <c r="AJ31" i="6"/>
  <c r="AK31" i="6"/>
  <c r="AL31" i="6"/>
  <c r="AJ17" i="6"/>
  <c r="AK17" i="6"/>
  <c r="AL17" i="6"/>
  <c r="AJ7" i="6"/>
  <c r="AK7" i="6"/>
  <c r="AL7" i="6"/>
  <c r="AJ50" i="6"/>
  <c r="AK50" i="6"/>
  <c r="AL50" i="6"/>
  <c r="AJ30" i="6"/>
  <c r="AK30" i="6"/>
  <c r="AL30" i="6"/>
  <c r="AJ16" i="6"/>
  <c r="AK16" i="6"/>
  <c r="AL16" i="6"/>
  <c r="AJ6" i="6"/>
  <c r="AK6" i="6"/>
  <c r="AL6" i="6"/>
  <c r="J8" i="8" l="1"/>
  <c r="I8" i="8"/>
  <c r="H8" i="8"/>
  <c r="G8" i="8"/>
  <c r="F8" i="8"/>
  <c r="E8" i="8"/>
  <c r="D8" i="8"/>
  <c r="C8" i="8"/>
  <c r="BX48" i="6"/>
  <c r="BU48" i="6"/>
  <c r="BX47" i="6"/>
  <c r="BU47" i="6"/>
  <c r="BX43" i="6"/>
  <c r="BU43" i="6"/>
  <c r="BX42" i="6"/>
  <c r="BU42" i="6"/>
  <c r="BX41" i="6"/>
  <c r="BU41" i="6"/>
  <c r="BX40" i="6"/>
  <c r="BU40" i="6"/>
  <c r="BX39" i="6"/>
  <c r="BU39" i="6"/>
  <c r="BX38" i="6"/>
  <c r="BU38" i="6"/>
  <c r="BX36" i="6"/>
  <c r="BU36" i="6"/>
  <c r="BX34" i="6"/>
  <c r="BU34" i="6"/>
  <c r="BX33" i="6"/>
  <c r="BU33" i="6"/>
  <c r="BX32" i="6"/>
  <c r="BU32" i="6"/>
  <c r="BX31" i="6"/>
  <c r="BU31" i="6"/>
  <c r="BX30" i="6"/>
  <c r="BU30" i="6"/>
  <c r="BX29" i="6"/>
  <c r="BU29" i="6"/>
  <c r="BX28" i="6"/>
  <c r="BU28" i="6"/>
  <c r="BX27" i="6"/>
  <c r="BU27" i="6"/>
  <c r="BX26" i="6"/>
  <c r="BU26" i="6"/>
  <c r="BX25" i="6"/>
  <c r="BU25" i="6"/>
  <c r="BX24" i="6"/>
  <c r="BU24" i="6"/>
  <c r="BX23" i="6"/>
  <c r="BU23" i="6"/>
  <c r="BX22" i="6"/>
  <c r="BU22" i="6"/>
  <c r="BX21" i="6"/>
  <c r="BU21" i="6"/>
  <c r="BX20" i="6"/>
  <c r="BU20" i="6"/>
  <c r="BX19" i="6"/>
  <c r="BU19" i="6"/>
  <c r="BX18" i="6"/>
  <c r="BU18" i="6"/>
  <c r="BX17" i="6"/>
  <c r="BU17" i="6"/>
  <c r="BX16" i="6"/>
  <c r="BU16" i="6"/>
  <c r="BX15" i="6"/>
  <c r="BU15" i="6"/>
  <c r="BX14" i="6"/>
  <c r="BU14" i="6"/>
  <c r="BX13" i="6"/>
  <c r="BU13" i="6"/>
  <c r="W9" i="6"/>
  <c r="V9" i="6"/>
  <c r="U9" i="6"/>
  <c r="BX12" i="6"/>
  <c r="BU12" i="6"/>
  <c r="W8" i="6"/>
  <c r="V8" i="6"/>
  <c r="U8" i="6"/>
  <c r="BX9" i="6"/>
  <c r="BU9" i="6"/>
  <c r="U7" i="6"/>
  <c r="BX8" i="6"/>
  <c r="BU8" i="6"/>
  <c r="U6" i="6"/>
  <c r="BX7" i="6"/>
  <c r="BU7" i="6"/>
  <c r="W5" i="6"/>
  <c r="V5" i="6"/>
  <c r="U5" i="6"/>
  <c r="BX6" i="6"/>
  <c r="BU6" i="6"/>
  <c r="W4" i="6"/>
  <c r="V4" i="6"/>
  <c r="U4" i="6"/>
  <c r="BX3" i="6"/>
  <c r="Q32" i="1" s="1"/>
  <c r="BU3" i="6"/>
  <c r="N32" i="1" s="1"/>
  <c r="J118" i="1"/>
  <c r="J117" i="1"/>
  <c r="K114" i="1"/>
  <c r="M114" i="1" s="1"/>
  <c r="R114" i="1" s="1"/>
  <c r="S114" i="1" s="1"/>
  <c r="K113" i="1"/>
  <c r="M113" i="1" s="1"/>
  <c r="R113" i="1" s="1"/>
  <c r="S113" i="1" s="1"/>
  <c r="K112" i="1"/>
  <c r="M112" i="1" s="1"/>
  <c r="R112" i="1" s="1"/>
  <c r="S112" i="1" s="1"/>
  <c r="L111" i="1"/>
  <c r="K111" i="1"/>
  <c r="Q110" i="1"/>
  <c r="P110" i="1"/>
  <c r="O110" i="1"/>
  <c r="N110" i="1"/>
  <c r="K110" i="1"/>
  <c r="M110" i="1" s="1"/>
  <c r="K109" i="1"/>
  <c r="M109" i="1" s="1"/>
  <c r="R109" i="1" s="1"/>
  <c r="S109" i="1" s="1"/>
  <c r="K108" i="1"/>
  <c r="M108" i="1" s="1"/>
  <c r="R108" i="1" s="1"/>
  <c r="S108" i="1" s="1"/>
  <c r="J104" i="1"/>
  <c r="J103" i="1"/>
  <c r="K100" i="1"/>
  <c r="M100" i="1" s="1"/>
  <c r="R100" i="1" s="1"/>
  <c r="S100" i="1" s="1"/>
  <c r="K99" i="1"/>
  <c r="M99" i="1" s="1"/>
  <c r="R99" i="1" s="1"/>
  <c r="S99" i="1" s="1"/>
  <c r="K98" i="1"/>
  <c r="M98" i="1" s="1"/>
  <c r="R98" i="1" s="1"/>
  <c r="S98" i="1" s="1"/>
  <c r="K97" i="1"/>
  <c r="M97" i="1" s="1"/>
  <c r="R97" i="1" s="1"/>
  <c r="S97" i="1" s="1"/>
  <c r="K96" i="1"/>
  <c r="M96" i="1" s="1"/>
  <c r="R96" i="1" s="1"/>
  <c r="S96" i="1" s="1"/>
  <c r="K95" i="1"/>
  <c r="M95" i="1" s="1"/>
  <c r="R95" i="1" s="1"/>
  <c r="S95" i="1" s="1"/>
  <c r="K94" i="1"/>
  <c r="M94" i="1" s="1"/>
  <c r="R94" i="1" s="1"/>
  <c r="S94" i="1" s="1"/>
  <c r="K93" i="1"/>
  <c r="M93" i="1" s="1"/>
  <c r="R93" i="1" s="1"/>
  <c r="S93" i="1" s="1"/>
  <c r="K92" i="1"/>
  <c r="M92" i="1" s="1"/>
  <c r="R92" i="1" s="1"/>
  <c r="S92" i="1" s="1"/>
  <c r="K91" i="1"/>
  <c r="M91" i="1" s="1"/>
  <c r="R91" i="1" s="1"/>
  <c r="S91" i="1" s="1"/>
  <c r="K90" i="1"/>
  <c r="P89" i="1"/>
  <c r="O89" i="1"/>
  <c r="K89" i="1"/>
  <c r="M89" i="1" s="1"/>
  <c r="K88" i="1"/>
  <c r="M88" i="1" s="1"/>
  <c r="R88" i="1" s="1"/>
  <c r="S88" i="1" s="1"/>
  <c r="K87" i="1"/>
  <c r="M87" i="1" s="1"/>
  <c r="R87" i="1" s="1"/>
  <c r="S87" i="1" s="1"/>
  <c r="J83" i="1"/>
  <c r="J82" i="1"/>
  <c r="K79" i="1"/>
  <c r="M79" i="1" s="1"/>
  <c r="R79" i="1" s="1"/>
  <c r="K78" i="1"/>
  <c r="M78" i="1" s="1"/>
  <c r="R78" i="1" s="1"/>
  <c r="Q77" i="1"/>
  <c r="P77" i="1"/>
  <c r="O77" i="1"/>
  <c r="N77" i="1"/>
  <c r="K77" i="1"/>
  <c r="M77" i="1" s="1"/>
  <c r="Q76" i="1"/>
  <c r="P76" i="1"/>
  <c r="O76" i="1"/>
  <c r="N76" i="1"/>
  <c r="K76" i="1"/>
  <c r="M76" i="1" s="1"/>
  <c r="Q75" i="1"/>
  <c r="P75" i="1"/>
  <c r="O75" i="1"/>
  <c r="N75" i="1"/>
  <c r="K75" i="1"/>
  <c r="M75" i="1" s="1"/>
  <c r="Q74" i="1"/>
  <c r="P74" i="1"/>
  <c r="O74" i="1"/>
  <c r="N74" i="1"/>
  <c r="K74" i="1"/>
  <c r="M74" i="1" s="1"/>
  <c r="J70" i="1"/>
  <c r="J69" i="1"/>
  <c r="K66" i="1"/>
  <c r="M66" i="1" s="1"/>
  <c r="R66" i="1" s="1"/>
  <c r="K65" i="1"/>
  <c r="M65" i="1" s="1"/>
  <c r="R65" i="1" s="1"/>
  <c r="Q64" i="1"/>
  <c r="P64" i="1"/>
  <c r="O64" i="1"/>
  <c r="N64" i="1"/>
  <c r="L64" i="1"/>
  <c r="K64" i="1"/>
  <c r="Q63" i="1"/>
  <c r="P63" i="1"/>
  <c r="O63" i="1"/>
  <c r="N63" i="1"/>
  <c r="L63" i="1"/>
  <c r="K63" i="1"/>
  <c r="J59" i="1"/>
  <c r="J58" i="1"/>
  <c r="K55" i="1"/>
  <c r="M55" i="1" s="1"/>
  <c r="R55" i="1" s="1"/>
  <c r="S55" i="1" s="1"/>
  <c r="S54" i="1"/>
  <c r="K54" i="1"/>
  <c r="M54" i="1" s="1"/>
  <c r="R54" i="1" s="1"/>
  <c r="Q53" i="1"/>
  <c r="P53" i="1"/>
  <c r="O53" i="1"/>
  <c r="N53" i="1"/>
  <c r="L53" i="1"/>
  <c r="K53" i="1"/>
  <c r="Q52" i="1"/>
  <c r="P52" i="1"/>
  <c r="O52" i="1"/>
  <c r="N52" i="1"/>
  <c r="K52" i="1"/>
  <c r="Q51" i="1"/>
  <c r="P51" i="1"/>
  <c r="O51" i="1"/>
  <c r="N51" i="1"/>
  <c r="K51" i="1"/>
  <c r="K43" i="1"/>
  <c r="M43" i="1" s="1"/>
  <c r="R43" i="1" s="1"/>
  <c r="S43" i="1" s="1"/>
  <c r="J45" i="1" s="1"/>
  <c r="Q35" i="1"/>
  <c r="P35" i="1"/>
  <c r="O35" i="1"/>
  <c r="N35" i="1"/>
  <c r="L35" i="1"/>
  <c r="K35" i="1"/>
  <c r="K34" i="1"/>
  <c r="M34" i="1" s="1"/>
  <c r="R34" i="1" s="1"/>
  <c r="S34" i="1" s="1"/>
  <c r="F34" i="1"/>
  <c r="L52" i="1" s="1"/>
  <c r="K33" i="1"/>
  <c r="M33" i="1" s="1"/>
  <c r="R33" i="1" s="1"/>
  <c r="S33" i="1" s="1"/>
  <c r="F33" i="1"/>
  <c r="L51" i="1" s="1"/>
  <c r="P32" i="1"/>
  <c r="O32" i="1"/>
  <c r="L32" i="1"/>
  <c r="K32" i="1"/>
  <c r="Q24" i="1"/>
  <c r="P24" i="1"/>
  <c r="O24" i="1"/>
  <c r="N24" i="1"/>
  <c r="K24" i="1"/>
  <c r="Q23" i="1"/>
  <c r="P23" i="1"/>
  <c r="O23" i="1"/>
  <c r="N23" i="1"/>
  <c r="K23" i="1"/>
  <c r="Q22" i="1"/>
  <c r="P22" i="1"/>
  <c r="O22" i="1"/>
  <c r="N22" i="1"/>
  <c r="K22" i="1"/>
  <c r="Q21" i="1"/>
  <c r="P21" i="1"/>
  <c r="O21" i="1"/>
  <c r="N21" i="1"/>
  <c r="L21" i="1"/>
  <c r="Q20" i="1"/>
  <c r="P20" i="1"/>
  <c r="O20" i="1"/>
  <c r="N20" i="1"/>
  <c r="K20" i="1"/>
  <c r="Q19" i="1"/>
  <c r="P19" i="1"/>
  <c r="O19" i="1"/>
  <c r="N19" i="1"/>
  <c r="K19" i="1"/>
  <c r="Q18" i="1"/>
  <c r="P18" i="1"/>
  <c r="O18" i="1"/>
  <c r="N18" i="1"/>
  <c r="K18" i="1"/>
  <c r="F18" i="1"/>
  <c r="Q17" i="1"/>
  <c r="P17" i="1"/>
  <c r="O17" i="1"/>
  <c r="N17" i="1"/>
  <c r="K17" i="1"/>
  <c r="Q16" i="1"/>
  <c r="P16" i="1"/>
  <c r="O16" i="1"/>
  <c r="N16" i="1"/>
  <c r="K16" i="1"/>
  <c r="Q15" i="1"/>
  <c r="P15" i="1"/>
  <c r="O15" i="1"/>
  <c r="N15" i="1"/>
  <c r="K15" i="1"/>
  <c r="Q14" i="1"/>
  <c r="P14" i="1"/>
  <c r="O14" i="1"/>
  <c r="N14" i="1"/>
  <c r="K14" i="1"/>
  <c r="F14" i="1"/>
  <c r="Q13" i="1"/>
  <c r="P13" i="1"/>
  <c r="O13" i="1"/>
  <c r="N13" i="1"/>
  <c r="K13" i="1"/>
  <c r="F13" i="1"/>
  <c r="Q12" i="1"/>
  <c r="P12" i="1"/>
  <c r="O12" i="1"/>
  <c r="N12" i="1"/>
  <c r="K12" i="1"/>
  <c r="Q11" i="1"/>
  <c r="P11" i="1"/>
  <c r="O11" i="1"/>
  <c r="N11" i="1"/>
  <c r="K11" i="1"/>
  <c r="C11" i="1"/>
  <c r="Q10" i="1"/>
  <c r="P10" i="1"/>
  <c r="O10" i="1"/>
  <c r="N10" i="1"/>
  <c r="K10" i="1"/>
  <c r="C10" i="1"/>
  <c r="Q9" i="1"/>
  <c r="P9" i="1"/>
  <c r="O9" i="1"/>
  <c r="N9" i="1"/>
  <c r="K9" i="1"/>
  <c r="Q8" i="1"/>
  <c r="P8" i="1"/>
  <c r="O8" i="1"/>
  <c r="N8" i="1"/>
  <c r="K8" i="1"/>
  <c r="Q7" i="1"/>
  <c r="P7" i="1"/>
  <c r="O7" i="1"/>
  <c r="N7" i="1"/>
  <c r="K7" i="1"/>
  <c r="F19" i="1" l="1"/>
  <c r="F16" i="1" s="1"/>
  <c r="L16" i="1" s="1"/>
  <c r="M16" i="1" s="1"/>
  <c r="R16" i="1" s="1"/>
  <c r="S16" i="1" s="1"/>
  <c r="M22" i="1"/>
  <c r="R22" i="1" s="1"/>
  <c r="S22" i="1" s="1"/>
  <c r="M24" i="1"/>
  <c r="R24" i="1" s="1"/>
  <c r="S24" i="1" s="1"/>
  <c r="M35" i="1"/>
  <c r="R35" i="1" s="1"/>
  <c r="S35" i="1" s="1"/>
  <c r="M23" i="1"/>
  <c r="R23" i="1" s="1"/>
  <c r="S23" i="1" s="1"/>
  <c r="S79" i="1"/>
  <c r="S66" i="1"/>
  <c r="S78" i="1"/>
  <c r="S65" i="1"/>
  <c r="M21" i="1"/>
  <c r="R21" i="1" s="1"/>
  <c r="R77" i="1"/>
  <c r="S77" i="1" s="1"/>
  <c r="R89" i="1"/>
  <c r="S89" i="1" s="1"/>
  <c r="M32" i="1"/>
  <c r="R32" i="1" s="1"/>
  <c r="M52" i="1"/>
  <c r="R52" i="1" s="1"/>
  <c r="S52" i="1" s="1"/>
  <c r="R76" i="1"/>
  <c r="S76" i="1" s="1"/>
  <c r="R110" i="1"/>
  <c r="S110" i="1" s="1"/>
  <c r="M64" i="1"/>
  <c r="R64" i="1" s="1"/>
  <c r="S64" i="1" s="1"/>
  <c r="R75" i="1"/>
  <c r="S75" i="1" s="1"/>
  <c r="M90" i="1"/>
  <c r="R90" i="1" s="1"/>
  <c r="S90" i="1" s="1"/>
  <c r="M51" i="1"/>
  <c r="R51" i="1" s="1"/>
  <c r="S51" i="1" s="1"/>
  <c r="M53" i="1"/>
  <c r="R53" i="1" s="1"/>
  <c r="S53" i="1" s="1"/>
  <c r="M63" i="1"/>
  <c r="R63" i="1" s="1"/>
  <c r="S63" i="1" s="1"/>
  <c r="R74" i="1"/>
  <c r="S74" i="1" s="1"/>
  <c r="M111" i="1"/>
  <c r="R111" i="1" s="1"/>
  <c r="S111" i="1" s="1"/>
  <c r="S32" i="1"/>
  <c r="S21" i="1"/>
  <c r="F17" i="1" l="1"/>
  <c r="J102" i="1"/>
  <c r="L13" i="1"/>
  <c r="M13" i="1" s="1"/>
  <c r="R13" i="1" s="1"/>
  <c r="S13" i="1" s="1"/>
  <c r="L10" i="1"/>
  <c r="M10" i="1" s="1"/>
  <c r="R10" i="1" s="1"/>
  <c r="S10" i="1" s="1"/>
  <c r="J116" i="1"/>
  <c r="L18" i="1"/>
  <c r="M18" i="1" s="1"/>
  <c r="L19" i="1"/>
  <c r="M19" i="1" s="1"/>
  <c r="R19" i="1" s="1"/>
  <c r="S19" i="1" s="1"/>
  <c r="L12" i="1"/>
  <c r="M12" i="1" s="1"/>
  <c r="L20" i="1"/>
  <c r="M20" i="1" s="1"/>
  <c r="R20" i="1" s="1"/>
  <c r="S20" i="1" s="1"/>
  <c r="L15" i="1"/>
  <c r="M15" i="1" s="1"/>
  <c r="L11" i="1"/>
  <c r="M11" i="1" s="1"/>
  <c r="L7" i="1"/>
  <c r="M7" i="1" s="1"/>
  <c r="L14" i="1"/>
  <c r="M14" i="1" s="1"/>
  <c r="R14" i="1" s="1"/>
  <c r="S14" i="1" s="1"/>
  <c r="L17" i="1"/>
  <c r="M17" i="1" s="1"/>
  <c r="L9" i="1"/>
  <c r="M9" i="1" s="1"/>
  <c r="R9" i="1" s="1"/>
  <c r="S9" i="1" s="1"/>
  <c r="L8" i="1"/>
  <c r="M8" i="1" s="1"/>
  <c r="J81" i="1"/>
  <c r="J57" i="1"/>
  <c r="J68" i="1"/>
  <c r="J37" i="1"/>
  <c r="R7" i="1" l="1"/>
  <c r="S7" i="1" s="1"/>
  <c r="R11" i="1"/>
  <c r="S11" i="1" s="1"/>
  <c r="R15" i="1"/>
  <c r="S15" i="1" s="1"/>
  <c r="R12" i="1"/>
  <c r="S12" i="1" s="1"/>
  <c r="R18" i="1"/>
  <c r="S18" i="1" s="1"/>
  <c r="R8" i="1"/>
  <c r="S8" i="1" s="1"/>
  <c r="R17" i="1"/>
  <c r="S17" i="1" s="1"/>
  <c r="J26" i="1" l="1"/>
</calcChain>
</file>

<file path=xl/sharedStrings.xml><?xml version="1.0" encoding="utf-8"?>
<sst xmlns="http://schemas.openxmlformats.org/spreadsheetml/2006/main" count="1209" uniqueCount="645">
  <si>
    <t>OG100</t>
  </si>
  <si>
    <t>Sample #</t>
  </si>
  <si>
    <t>Job Number</t>
  </si>
  <si>
    <t>Key1</t>
  </si>
  <si>
    <t>Inspection Date</t>
  </si>
  <si>
    <t>Plant</t>
  </si>
  <si>
    <t>Part Number</t>
  </si>
  <si>
    <t>Rev Num</t>
  </si>
  <si>
    <t>Insp Plan Part Num</t>
  </si>
  <si>
    <t>Specification ID</t>
  </si>
  <si>
    <t>Passed</t>
  </si>
  <si>
    <t>Failed Comment</t>
  </si>
  <si>
    <t>Company</t>
  </si>
  <si>
    <t>MfgSys</t>
  </si>
  <si>
    <t>A</t>
  </si>
  <si>
    <t>Inspection Type</t>
  </si>
  <si>
    <t>Value</t>
  </si>
  <si>
    <t>Key2</t>
  </si>
  <si>
    <t>Key3</t>
  </si>
  <si>
    <t>Date01</t>
  </si>
  <si>
    <t>Character01</t>
  </si>
  <si>
    <t>Character02</t>
  </si>
  <si>
    <t>Character03</t>
  </si>
  <si>
    <t>Character04</t>
  </si>
  <si>
    <t>Character05</t>
  </si>
  <si>
    <t>Character07</t>
  </si>
  <si>
    <t>CheckBox01</t>
  </si>
  <si>
    <t>Character09</t>
  </si>
  <si>
    <t xml:space="preserve">Database Send </t>
  </si>
  <si>
    <t>Outside</t>
  </si>
  <si>
    <t>Number02</t>
  </si>
  <si>
    <t>Number01</t>
  </si>
  <si>
    <t>Number03</t>
  </si>
  <si>
    <t>Number04</t>
  </si>
  <si>
    <t>Number05</t>
  </si>
  <si>
    <t>Number06</t>
  </si>
  <si>
    <t>Number07</t>
  </si>
  <si>
    <t>Number08</t>
  </si>
  <si>
    <t>Number09</t>
  </si>
  <si>
    <t>Number10</t>
  </si>
  <si>
    <t>Number11</t>
  </si>
  <si>
    <t>Number12</t>
  </si>
  <si>
    <t>Number13</t>
  </si>
  <si>
    <t>Number14</t>
  </si>
  <si>
    <t>Number15</t>
  </si>
  <si>
    <t>Number16</t>
  </si>
  <si>
    <t>Number17</t>
  </si>
  <si>
    <t>Number18</t>
  </si>
  <si>
    <t>Number19</t>
  </si>
  <si>
    <t>Number20</t>
  </si>
  <si>
    <t>Data1</t>
  </si>
  <si>
    <t>Data2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</si>
  <si>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</si>
  <si>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</si>
  <si>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</si>
  <si>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</si>
  <si>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</si>
  <si>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</si>
  <si>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</si>
  <si>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</si>
  <si>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</si>
  <si>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Data12</t>
  </si>
  <si>
    <t>Data13</t>
  </si>
  <si>
    <t>Data14</t>
  </si>
  <si>
    <t>Data15</t>
  </si>
  <si>
    <t>Data16</t>
  </si>
  <si>
    <t>Data17</t>
  </si>
  <si>
    <t>Data18</t>
  </si>
  <si>
    <t>Data19</t>
  </si>
  <si>
    <t>Data20</t>
  </si>
  <si>
    <t>ShortChar01</t>
  </si>
  <si>
    <t>ShortChar02</t>
  </si>
  <si>
    <t>ShortChar03</t>
  </si>
  <si>
    <t>ShortChar04</t>
  </si>
  <si>
    <t>ShortChar05</t>
  </si>
  <si>
    <t>ShortChar06</t>
  </si>
  <si>
    <t>ShortChar07</t>
  </si>
  <si>
    <t>ShortChar08</t>
  </si>
  <si>
    <t>ShortChar09</t>
  </si>
  <si>
    <t>ShortChar10</t>
  </si>
  <si>
    <t>ShortChar11</t>
  </si>
  <si>
    <t>ShortChar12</t>
  </si>
  <si>
    <t>ShortChar13</t>
  </si>
  <si>
    <t>ShortChar14</t>
  </si>
  <si>
    <t>ShortChar15</t>
  </si>
  <si>
    <t>ShortChar16</t>
  </si>
  <si>
    <t>ShortChar17</t>
  </si>
  <si>
    <t>ShortChar18</t>
  </si>
  <si>
    <t>ShortChar19</t>
  </si>
  <si>
    <t>ShortChar20</t>
  </si>
  <si>
    <t>Schar10</t>
  </si>
  <si>
    <t>Schar11</t>
  </si>
  <si>
    <t>Schar12</t>
  </si>
  <si>
    <t>Schar13</t>
  </si>
  <si>
    <t>Schar14</t>
  </si>
  <si>
    <t>Schar15</t>
  </si>
  <si>
    <t>Schar16</t>
  </si>
  <si>
    <t>Schar17</t>
  </si>
  <si>
    <t>Schar18</t>
  </si>
  <si>
    <t>Schar19</t>
  </si>
  <si>
    <t>Schar20</t>
  </si>
  <si>
    <t>CheckBox02</t>
  </si>
  <si>
    <t>CheckBox03</t>
  </si>
  <si>
    <t>CheckBox04</t>
  </si>
  <si>
    <t>CheckBox05</t>
  </si>
  <si>
    <t>CheckBox06</t>
  </si>
  <si>
    <t>CheckBox07</t>
  </si>
  <si>
    <t>CheckBox08</t>
  </si>
  <si>
    <t>CheckBox09</t>
  </si>
  <si>
    <t>CheckBox10</t>
  </si>
  <si>
    <t>CheckBox11</t>
  </si>
  <si>
    <t>CheckBox12</t>
  </si>
  <si>
    <t>CheckBox13</t>
  </si>
  <si>
    <t>CheckBox14</t>
  </si>
  <si>
    <t>CheckBox15</t>
  </si>
  <si>
    <t>CheckBox16</t>
  </si>
  <si>
    <t>CheckBox17</t>
  </si>
  <si>
    <t>CheckBox18</t>
  </si>
  <si>
    <t>CheckBox19</t>
  </si>
  <si>
    <t>CheckBox20</t>
  </si>
  <si>
    <t>Check10</t>
  </si>
  <si>
    <t>Check11</t>
  </si>
  <si>
    <t>Check12</t>
  </si>
  <si>
    <t>Check13</t>
  </si>
  <si>
    <t>Check14</t>
  </si>
  <si>
    <t>Check15</t>
  </si>
  <si>
    <t>Check16</t>
  </si>
  <si>
    <t>Check17</t>
  </si>
  <si>
    <t>Check18</t>
  </si>
  <si>
    <t>Check19</t>
  </si>
  <si>
    <t>23-2005</t>
  </si>
  <si>
    <t>F_B</t>
  </si>
  <si>
    <t>F_D</t>
  </si>
  <si>
    <t>F_E</t>
  </si>
  <si>
    <t>12,23-2005</t>
  </si>
  <si>
    <t>16,23-2005</t>
  </si>
  <si>
    <t>18,23-2005</t>
  </si>
  <si>
    <t>24,23-2005</t>
  </si>
  <si>
    <t>36,23-2005</t>
  </si>
  <si>
    <t>30,23-2005</t>
  </si>
  <si>
    <t>42,23-2005</t>
  </si>
  <si>
    <t>48,23-2005</t>
  </si>
  <si>
    <t>54,23-2005</t>
  </si>
  <si>
    <t>60,23-2005</t>
  </si>
  <si>
    <t>72,23-2005</t>
  </si>
  <si>
    <t>Index</t>
  </si>
  <si>
    <t>F_Long_Leg</t>
  </si>
  <si>
    <t>Measurement</t>
  </si>
  <si>
    <t>P_G</t>
  </si>
  <si>
    <t>P_Leg_Len</t>
  </si>
  <si>
    <t>O_Fabric_Wid</t>
  </si>
  <si>
    <t>Job Comments</t>
  </si>
  <si>
    <t>Returned Data</t>
  </si>
  <si>
    <t>First Count</t>
  </si>
  <si>
    <t>Mesh Gauge</t>
  </si>
  <si>
    <t>Mesh Description</t>
  </si>
  <si>
    <t>Belt Width</t>
  </si>
  <si>
    <t>Pass/Fail</t>
  </si>
  <si>
    <t>F_Triangle_Leg</t>
  </si>
  <si>
    <t>C_ADJ_16</t>
  </si>
  <si>
    <t>C_ADJ_17</t>
  </si>
  <si>
    <t>Dimension</t>
  </si>
  <si>
    <t>Difference</t>
  </si>
  <si>
    <t>Fabric_Wid</t>
  </si>
  <si>
    <t>C_ADJ</t>
  </si>
  <si>
    <t>G_16</t>
  </si>
  <si>
    <t>G_17</t>
  </si>
  <si>
    <t>Leg_Len_16</t>
  </si>
  <si>
    <t>Leg_Len_17</t>
  </si>
  <si>
    <t>Spec</t>
  </si>
  <si>
    <t>Comment</t>
  </si>
  <si>
    <t>Description</t>
  </si>
  <si>
    <t>Internal Pigtails Diameter</t>
  </si>
  <si>
    <t>Internal Pigtails Leg Length</t>
  </si>
  <si>
    <t>Fabric Width</t>
  </si>
  <si>
    <t>Second End Triangle Leg Length</t>
  </si>
  <si>
    <t>First End C+ ADJ Width</t>
  </si>
  <si>
    <t>First End Triangle Leg Length</t>
  </si>
  <si>
    <t>Dog Leg</t>
  </si>
  <si>
    <t>Burrs</t>
  </si>
  <si>
    <t>Spiral Twist</t>
  </si>
  <si>
    <t>23-2001</t>
  </si>
  <si>
    <t>OG075</t>
  </si>
  <si>
    <t>SSOG075</t>
  </si>
  <si>
    <t>23-2009</t>
  </si>
  <si>
    <t>SSOG100</t>
  </si>
  <si>
    <t>SROG075</t>
  </si>
  <si>
    <t>SSROG100</t>
  </si>
  <si>
    <t>23-2011</t>
  </si>
  <si>
    <t>RROG100</t>
  </si>
  <si>
    <t>SROG100</t>
  </si>
  <si>
    <t>OP120</t>
  </si>
  <si>
    <t>23-2019</t>
  </si>
  <si>
    <t>OP100</t>
  </si>
  <si>
    <t>OP150</t>
  </si>
  <si>
    <t>23-2022</t>
  </si>
  <si>
    <t>OP075</t>
  </si>
  <si>
    <t>RROP100</t>
  </si>
  <si>
    <t>SROP075</t>
  </si>
  <si>
    <t>Belt</t>
  </si>
  <si>
    <t>12,23-2001</t>
  </si>
  <si>
    <t>16,23-2001</t>
  </si>
  <si>
    <t>18,23-2001</t>
  </si>
  <si>
    <t>24,23-2001</t>
  </si>
  <si>
    <t>30,23-2001</t>
  </si>
  <si>
    <t>36,23-2001</t>
  </si>
  <si>
    <t>42,23-2001</t>
  </si>
  <si>
    <t>48,23-2001</t>
  </si>
  <si>
    <t>54,23-2001</t>
  </si>
  <si>
    <t>60,23-2001</t>
  </si>
  <si>
    <t>72,23-2001</t>
  </si>
  <si>
    <t>C_ADJ_15</t>
  </si>
  <si>
    <t>18,23-2019</t>
  </si>
  <si>
    <t>24,23-2019</t>
  </si>
  <si>
    <t>30,23-2019</t>
  </si>
  <si>
    <t>36,23-2019</t>
  </si>
  <si>
    <t>42,23-2019</t>
  </si>
  <si>
    <t>48,23-2019</t>
  </si>
  <si>
    <t>54,23-2019</t>
  </si>
  <si>
    <t>60,23-2019</t>
  </si>
  <si>
    <t>72,23-2019</t>
  </si>
  <si>
    <t>G_15</t>
  </si>
  <si>
    <t>Leg_Len_15</t>
  </si>
  <si>
    <t>18,23-2022</t>
  </si>
  <si>
    <t>24,23-2022</t>
  </si>
  <si>
    <t>30,23-2022</t>
  </si>
  <si>
    <t>36,23-2022</t>
  </si>
  <si>
    <t>42,23-2022</t>
  </si>
  <si>
    <t>48,23-2022</t>
  </si>
  <si>
    <t>54,23-2022</t>
  </si>
  <si>
    <t>F_ADJ_15</t>
  </si>
  <si>
    <t>F_ADJ_16</t>
  </si>
  <si>
    <t>F_ADJ_17</t>
  </si>
  <si>
    <t>C_Long_Leg_15</t>
  </si>
  <si>
    <t>C_Long_Leg_16</t>
  </si>
  <si>
    <t>C_Long_Leg_17</t>
  </si>
  <si>
    <t>F_Long_Leg_15</t>
  </si>
  <si>
    <t>F_Long_Leg_16</t>
  </si>
  <si>
    <t>F_Long_Leg_17</t>
  </si>
  <si>
    <t>24,23-2011</t>
  </si>
  <si>
    <t>30,23-2011</t>
  </si>
  <si>
    <t>36,23-2011</t>
  </si>
  <si>
    <t>42,23-2011</t>
  </si>
  <si>
    <t>48,23-2011</t>
  </si>
  <si>
    <t>54,23-2011</t>
  </si>
  <si>
    <t>18,23-2009</t>
  </si>
  <si>
    <t>24,23-2009</t>
  </si>
  <si>
    <t>30,23-2009</t>
  </si>
  <si>
    <t>36,23-2009</t>
  </si>
  <si>
    <t>42,23-2009</t>
  </si>
  <si>
    <t>48,23-2009</t>
  </si>
  <si>
    <t>54,23-2009</t>
  </si>
  <si>
    <t>Green Min Tolerance</t>
  </si>
  <si>
    <t>Green Max Tolerance</t>
  </si>
  <si>
    <t>C_B</t>
  </si>
  <si>
    <t>C_Long_Leg</t>
  </si>
  <si>
    <t>C_Triangle_Leg</t>
  </si>
  <si>
    <t>C_D</t>
  </si>
  <si>
    <t>C_E</t>
  </si>
  <si>
    <t>F_ADJ</t>
  </si>
  <si>
    <t>C_B_15</t>
  </si>
  <si>
    <t>C_B_16</t>
  </si>
  <si>
    <t>C_B_17</t>
  </si>
  <si>
    <t>C_D_15</t>
  </si>
  <si>
    <t>C_D_16</t>
  </si>
  <si>
    <t>C_D_17</t>
  </si>
  <si>
    <t>C_E_15</t>
  </si>
  <si>
    <t>C_E_16</t>
  </si>
  <si>
    <t>C_E_17</t>
  </si>
  <si>
    <t>F_B_15</t>
  </si>
  <si>
    <t>F_B_16</t>
  </si>
  <si>
    <t>F_B_17</t>
  </si>
  <si>
    <t>F_D_15</t>
  </si>
  <si>
    <t>F_D_16</t>
  </si>
  <si>
    <t>F_D_17</t>
  </si>
  <si>
    <t>F_E_15</t>
  </si>
  <si>
    <t>F_E_16</t>
  </si>
  <si>
    <t>F_E_17</t>
  </si>
  <si>
    <t>Dwg Num 1</t>
  </si>
  <si>
    <t>Yellow Min</t>
  </si>
  <si>
    <t>Yellow Max</t>
  </si>
  <si>
    <t>F_Triangle_Leg_15</t>
  </si>
  <si>
    <t>F_Triangle_Leg_16</t>
  </si>
  <si>
    <t>F_Triangle_Leg_17</t>
  </si>
  <si>
    <t>C_Triangle_Leg_15</t>
  </si>
  <si>
    <t>C_Triangle_Leg_16</t>
  </si>
  <si>
    <t>C_Triangle_Leg_17</t>
  </si>
  <si>
    <t>JWI</t>
  </si>
  <si>
    <t>OGPC0021B</t>
  </si>
  <si>
    <t>OGPC0022B</t>
  </si>
  <si>
    <t>OGPC0012D</t>
  </si>
  <si>
    <t>EJWI-051A</t>
  </si>
  <si>
    <t>Inside / Regular</t>
  </si>
  <si>
    <t>Conveying Surface</t>
  </si>
  <si>
    <t>Conveying Surface
Inside / Regular</t>
  </si>
  <si>
    <t>Conveying Surface
Outside</t>
  </si>
  <si>
    <t>Number of Spirals per Pitch</t>
  </si>
  <si>
    <t>Spirals Per Pitch</t>
  </si>
  <si>
    <t>Inside / Outside Spiral</t>
  </si>
  <si>
    <t>Center Link Location</t>
  </si>
  <si>
    <t>Time</t>
  </si>
  <si>
    <t>Employee Num</t>
  </si>
  <si>
    <t>Check2</t>
  </si>
  <si>
    <t>Check3</t>
  </si>
  <si>
    <t>Check4</t>
  </si>
  <si>
    <t>Check5</t>
  </si>
  <si>
    <t>Check6</t>
  </si>
  <si>
    <t>Check7</t>
  </si>
  <si>
    <t>Check8</t>
  </si>
  <si>
    <t>Check9</t>
  </si>
  <si>
    <t>Check20</t>
  </si>
  <si>
    <t>Inspection S/R</t>
  </si>
  <si>
    <t>Straight and Cut Check</t>
  </si>
  <si>
    <t>Rod Length Visual</t>
  </si>
  <si>
    <t>Straightness</t>
  </si>
  <si>
    <t>Wire Diameter</t>
  </si>
  <si>
    <t>Rod Length</t>
  </si>
  <si>
    <t>Rod Size</t>
  </si>
  <si>
    <t>SCPC0002B</t>
  </si>
  <si>
    <t>OFE1</t>
  </si>
  <si>
    <t>OFE2</t>
  </si>
  <si>
    <t>SROFG1</t>
  </si>
  <si>
    <t>SROFG3</t>
  </si>
  <si>
    <t>Rod Length Factor</t>
  </si>
  <si>
    <t>FWA1</t>
  </si>
  <si>
    <t>FWA2</t>
  </si>
  <si>
    <t>FWA3</t>
  </si>
  <si>
    <t>FWA4</t>
  </si>
  <si>
    <t>FWA5</t>
  </si>
  <si>
    <t>FWA6</t>
  </si>
  <si>
    <t>FWA5S</t>
  </si>
  <si>
    <t>FWB1</t>
  </si>
  <si>
    <t>FWB2</t>
  </si>
  <si>
    <t>FWB3</t>
  </si>
  <si>
    <t>FWB4</t>
  </si>
  <si>
    <t>FWB5</t>
  </si>
  <si>
    <t>FWB6</t>
  </si>
  <si>
    <t>FWC1</t>
  </si>
  <si>
    <t>FWC2</t>
  </si>
  <si>
    <t>FWC6SB</t>
  </si>
  <si>
    <t>SCPC0004A</t>
  </si>
  <si>
    <t>SCPC0005B</t>
  </si>
  <si>
    <t>SCPC0013B</t>
  </si>
  <si>
    <t>Yellow Min Rod Length</t>
  </si>
  <si>
    <t>Green Min Rod Length</t>
  </si>
  <si>
    <t>Green Max Rod Length</t>
  </si>
  <si>
    <t>Yellow Max Rod Length</t>
  </si>
  <si>
    <t>Green Min</t>
  </si>
  <si>
    <t>Green Max</t>
  </si>
  <si>
    <t>Green Min Wire Diameter</t>
  </si>
  <si>
    <t>Green Max Wire Diameter</t>
  </si>
  <si>
    <t>Yellow Min Wire Diameter</t>
  </si>
  <si>
    <t>Yellow Max Wire Diameter</t>
  </si>
  <si>
    <t>Schar1</t>
  </si>
  <si>
    <t>Schar3</t>
  </si>
  <si>
    <t>Schar4</t>
  </si>
  <si>
    <t>Schar5</t>
  </si>
  <si>
    <t>Schar7</t>
  </si>
  <si>
    <t>Schar8</t>
  </si>
  <si>
    <t>Schar9</t>
  </si>
  <si>
    <t>Insp Plan</t>
  </si>
  <si>
    <t>Specification</t>
  </si>
  <si>
    <t>Rod Length (Measured)</t>
  </si>
  <si>
    <t>Rod Length (Visual)</t>
  </si>
  <si>
    <t>Lookup Part Num</t>
  </si>
  <si>
    <t>Straight and Cut</t>
  </si>
  <si>
    <t>Grid Welding Check</t>
  </si>
  <si>
    <t>Conforming Weld</t>
  </si>
  <si>
    <t>Grid Spiral Check</t>
  </si>
  <si>
    <t>Belt Type</t>
  </si>
  <si>
    <t>Spiral Thickness</t>
  </si>
  <si>
    <t>Loop Count</t>
  </si>
  <si>
    <t>CTB</t>
  </si>
  <si>
    <t>Spiral Height Run Yellow Min</t>
  </si>
  <si>
    <t>Spiral Height Run Green Min</t>
  </si>
  <si>
    <t>Spiral Height Run Green Max</t>
  </si>
  <si>
    <t>Spiral Height Run Yellow Max</t>
  </si>
  <si>
    <t>Spiral Thickness Setup Yellow Min</t>
  </si>
  <si>
    <t>Spiral Thickness Setup Green Min</t>
  </si>
  <si>
    <t>Spiral Thickness Setup Green Max</t>
  </si>
  <si>
    <t>Spiral Thickness Setup Yellow Max</t>
  </si>
  <si>
    <t>Spiral Thickness Run Yellow Min</t>
  </si>
  <si>
    <t>Spiral Thickness Run Green Min</t>
  </si>
  <si>
    <t>Spiral Thickness Run Green Max</t>
  </si>
  <si>
    <t>Loop Count Setup Yellow Min</t>
  </si>
  <si>
    <t>Loop Count Setup Green Min</t>
  </si>
  <si>
    <t>Loop Count Setup Green Max</t>
  </si>
  <si>
    <t>Loop Count Setup Yellow Max</t>
  </si>
  <si>
    <t>Loop Count Run Yellow Min</t>
  </si>
  <si>
    <t>Loop Count Run Green Min</t>
  </si>
  <si>
    <t>Loop Count Run Green Max</t>
  </si>
  <si>
    <t>Loop Count Run Yellow Max</t>
  </si>
  <si>
    <t>Linear Pitch Setup Yellow Min</t>
  </si>
  <si>
    <t>Linear Pitch Setup Green Min</t>
  </si>
  <si>
    <t>Linear Pitch Setup Green Max</t>
  </si>
  <si>
    <t>Linear Pitch Setup Yellow Max</t>
  </si>
  <si>
    <t>Linear Pitch Run Yellow Min</t>
  </si>
  <si>
    <t>Linear Pitch Run Green Min</t>
  </si>
  <si>
    <t>Linear Pitch Run Green Max</t>
  </si>
  <si>
    <t>Linear Pitch Run Yellow Max</t>
  </si>
  <si>
    <t>CV</t>
  </si>
  <si>
    <t>PDCE</t>
  </si>
  <si>
    <t>BW</t>
  </si>
  <si>
    <t>DB</t>
  </si>
  <si>
    <t>CB</t>
  </si>
  <si>
    <t>Woven Spiral Check</t>
  </si>
  <si>
    <t>Weaving</t>
  </si>
  <si>
    <t>Spiral Width</t>
  </si>
  <si>
    <t>All Other Inspections</t>
  </si>
  <si>
    <t>Other Inspections</t>
  </si>
  <si>
    <t>Spiral Width Setup Yellow Min</t>
  </si>
  <si>
    <t>Spiral Width Setup Green Min</t>
  </si>
  <si>
    <t>Spiral Width Setup Green Max</t>
  </si>
  <si>
    <t>Spiral Width Setup Yellow Max</t>
  </si>
  <si>
    <t>Operation Comment</t>
  </si>
  <si>
    <t>Spiral Size</t>
  </si>
  <si>
    <t>Loops</t>
  </si>
  <si>
    <t>Current</t>
  </si>
  <si>
    <t>Spiral Width Run Yellow Min</t>
  </si>
  <si>
    <t>Spiral Width Run Green Min</t>
  </si>
  <si>
    <t>Spiral Width Run Green Max</t>
  </si>
  <si>
    <t>Spiral Width Run Yellow Max</t>
  </si>
  <si>
    <t>Spiral Thickness Run Yellow Max</t>
  </si>
  <si>
    <t>WVPC-0011A</t>
  </si>
  <si>
    <t>WVPC-0022A</t>
  </si>
  <si>
    <t>WVPC-0007A</t>
  </si>
  <si>
    <t>WVPC-0005B</t>
  </si>
  <si>
    <t>WVPC-0003A</t>
  </si>
  <si>
    <t>WVPC-0001B</t>
  </si>
  <si>
    <t>InsP Plan</t>
  </si>
  <si>
    <t>Loop Count (Visual)</t>
  </si>
  <si>
    <t>Crimp Check</t>
  </si>
  <si>
    <t>Crimp</t>
  </si>
  <si>
    <t>Crimp Depth</t>
  </si>
  <si>
    <t>Nominal Width</t>
  </si>
  <si>
    <t>Nomindal Width</t>
  </si>
  <si>
    <t>Flatness</t>
  </si>
  <si>
    <t>Crimp Depth Setup Yellow Min</t>
  </si>
  <si>
    <t>Crimp Depth Setup Green Min</t>
  </si>
  <si>
    <t>Crimp Depth Setup Green Max</t>
  </si>
  <si>
    <t>Crimp Depth Setup Yellow Max</t>
  </si>
  <si>
    <t>Crimp Depth Run Yellow Min</t>
  </si>
  <si>
    <t>Crimp Depth Run Green Min</t>
  </si>
  <si>
    <t>Crimp Depth Run Green Max</t>
  </si>
  <si>
    <t>Crimp Depth Run Yellow Max</t>
  </si>
  <si>
    <t>CB5Band</t>
  </si>
  <si>
    <t>Nominal Width Setup Yellow Min</t>
  </si>
  <si>
    <t>Nominal Width Setup Green Min</t>
  </si>
  <si>
    <t>Nominal Width Setup Green Max</t>
  </si>
  <si>
    <t>Nominal Width Setup Yellow Max</t>
  </si>
  <si>
    <t>Nominal Width Run Yellow Min</t>
  </si>
  <si>
    <t>Nominal Width Run Green Min</t>
  </si>
  <si>
    <t>Nominal Width Run Green Max</t>
  </si>
  <si>
    <t>Nominal Width Run Yellow Max</t>
  </si>
  <si>
    <t>WV-PC-0019B</t>
  </si>
  <si>
    <t>WV-PC-0020B</t>
  </si>
  <si>
    <t>Spiral</t>
  </si>
  <si>
    <t>Welding</t>
  </si>
  <si>
    <t>***</t>
  </si>
  <si>
    <t>Yellow Fields are controlled by VBA programs</t>
  </si>
  <si>
    <t>Second End Height (B)</t>
  </si>
  <si>
    <t>First End Height (B)</t>
  </si>
  <si>
    <t>First End Height (D)</t>
  </si>
  <si>
    <t>First End Width (E)</t>
  </si>
  <si>
    <t>Second End Height (D)</t>
  </si>
  <si>
    <t>Second End Width (E)</t>
  </si>
  <si>
    <t>First End Long Leg Length</t>
  </si>
  <si>
    <t>Second End Long Leg Length</t>
  </si>
  <si>
    <t>CB5 Band Spiral Check</t>
  </si>
  <si>
    <t>CB5 Weaving</t>
  </si>
  <si>
    <t>Flat Wire Height</t>
  </si>
  <si>
    <t>Spiral Outside Height</t>
  </si>
  <si>
    <t>Spiral Outside Width</t>
  </si>
  <si>
    <t>Center To Center</t>
  </si>
  <si>
    <t>Roll</t>
  </si>
  <si>
    <t>Flattend Wire Height</t>
  </si>
  <si>
    <t>Spiral Outside Width Setup Yellow Min</t>
  </si>
  <si>
    <t>Spiral Outside Width Setup Green Min</t>
  </si>
  <si>
    <t>Spiral Outside Width Setup Green Max</t>
  </si>
  <si>
    <t>Spiral Outside Width Setup Yellow Max</t>
  </si>
  <si>
    <t>Spiral Outside Width Run Yellow Min</t>
  </si>
  <si>
    <t>Spiral Outside Width Run Green Min</t>
  </si>
  <si>
    <t>Spiral Outside Width Run Green Max</t>
  </si>
  <si>
    <t>Spiral Outside Width Run Yellow Max</t>
  </si>
  <si>
    <t>Spiral Outside Height Run Yellow Min</t>
  </si>
  <si>
    <t>Spiral Outside Height Run Green Min</t>
  </si>
  <si>
    <t>Spiral Outside Height Run Green Max</t>
  </si>
  <si>
    <t>Spiral Outside Height Run Yellow Max</t>
  </si>
  <si>
    <t>Flat Wire Height Setup Yellow Min</t>
  </si>
  <si>
    <t>Flat Wire Height Setup Green Min</t>
  </si>
  <si>
    <t>Flat Wire Height Setup Green Max</t>
  </si>
  <si>
    <t>Flat Wire Height Setup Yellow Max</t>
  </si>
  <si>
    <t>Flat Wire Height Run Yellow Min</t>
  </si>
  <si>
    <t>Flat Wire Height Run Green Min</t>
  </si>
  <si>
    <t>Flat Wire Height Run Green Max</t>
  </si>
  <si>
    <t>Error Comment</t>
  </si>
  <si>
    <t>Center To Center Setup Yellow Min</t>
  </si>
  <si>
    <t>Center To Center Setup Green Min</t>
  </si>
  <si>
    <t>Center To Center Setup Green Max</t>
  </si>
  <si>
    <t>Center To Center Setup Yellow Max</t>
  </si>
  <si>
    <t>Center To Center Run Yellow Min</t>
  </si>
  <si>
    <t>Center To Center Run Green Min</t>
  </si>
  <si>
    <t>Center To Center Run Green Max</t>
  </si>
  <si>
    <t>Center To Center Run Yellow Max</t>
  </si>
  <si>
    <t>Second End F + ADJ Width</t>
  </si>
  <si>
    <t>Spiral Outside Height Setup Yellow Min</t>
  </si>
  <si>
    <t>Spiral Outside Height Setup Green Min</t>
  </si>
  <si>
    <t>Spiral Outside Height Setup Green Max</t>
  </si>
  <si>
    <t>Spiral Outside Height Setup Yellow Max</t>
  </si>
  <si>
    <t>Flat Wire Height Run Yellow Max</t>
  </si>
  <si>
    <t>Min</t>
  </si>
  <si>
    <t>Target</t>
  </si>
  <si>
    <t>Max</t>
  </si>
  <si>
    <t>Flatwire Picket</t>
  </si>
  <si>
    <t>B</t>
  </si>
  <si>
    <t>C</t>
  </si>
  <si>
    <t>Picket Bow (A)</t>
  </si>
  <si>
    <t>Picket Bow (B)</t>
  </si>
  <si>
    <t>Free Picket Width</t>
  </si>
  <si>
    <t>Twist &amp; Flatness (C)</t>
  </si>
  <si>
    <t>Inside Rod Pitch</t>
  </si>
  <si>
    <t>Cut Off Angle</t>
  </si>
  <si>
    <t>Cut Off Leg Straightness</t>
  </si>
  <si>
    <t>Male Tool Angle</t>
  </si>
  <si>
    <t>Scratches</t>
  </si>
  <si>
    <t>High Corner</t>
  </si>
  <si>
    <t>Tool Marks</t>
  </si>
  <si>
    <t>Crooked Loops</t>
  </si>
  <si>
    <t>OFE3</t>
  </si>
  <si>
    <t>OFE4</t>
  </si>
  <si>
    <t>A Setup Yellow Min</t>
  </si>
  <si>
    <t>A Setup Green Min</t>
  </si>
  <si>
    <t>A Setup Green Max</t>
  </si>
  <si>
    <t>A Setup Yellow Max</t>
  </si>
  <si>
    <t>A Run Yellow Min</t>
  </si>
  <si>
    <t>A Run Green Min</t>
  </si>
  <si>
    <t>A Run Green Max</t>
  </si>
  <si>
    <t>Conversion</t>
  </si>
  <si>
    <t>Input</t>
  </si>
  <si>
    <t>Output</t>
  </si>
  <si>
    <t>C Setup Yellow Min</t>
  </si>
  <si>
    <t>C Setup Green Min</t>
  </si>
  <si>
    <t>C Setup Green Max</t>
  </si>
  <si>
    <t>C Setup Yellow Max</t>
  </si>
  <si>
    <t>C Run Yellow Min</t>
  </si>
  <si>
    <t>C Run Green Min</t>
  </si>
  <si>
    <t>C Run Green Max</t>
  </si>
  <si>
    <t>C Run Yellow Max</t>
  </si>
  <si>
    <t>FWPC0011B</t>
  </si>
  <si>
    <t>FWC6</t>
  </si>
  <si>
    <t>FWH3</t>
  </si>
  <si>
    <t>Picket Compression</t>
  </si>
  <si>
    <t>FWPC0004C</t>
  </si>
  <si>
    <t>FWPC0009A</t>
  </si>
  <si>
    <t>Type</t>
  </si>
  <si>
    <t>Part #</t>
  </si>
  <si>
    <t>Employ</t>
  </si>
  <si>
    <t xml:space="preserve">Spec       </t>
  </si>
  <si>
    <t>#</t>
  </si>
  <si>
    <t xml:space="preserve">Time      </t>
  </si>
  <si>
    <t xml:space="preserve">Date    </t>
  </si>
  <si>
    <t>Nom Width</t>
  </si>
  <si>
    <t>Grid Welding</t>
  </si>
  <si>
    <t>Link to Buttonhead Distance</t>
  </si>
  <si>
    <t>Weld Overflow</t>
  </si>
  <si>
    <t>BH to End of Weld</t>
  </si>
  <si>
    <t>Buttonhead to End of Weld</t>
  </si>
  <si>
    <t>Weld Spatter</t>
  </si>
  <si>
    <t>Collapse</t>
  </si>
  <si>
    <t>Pigtail Engagement</t>
  </si>
  <si>
    <t>SPC0002B</t>
  </si>
  <si>
    <t>Link to BH</t>
  </si>
  <si>
    <t>Link To BH Setup Yellow Min</t>
  </si>
  <si>
    <t>Link To BH Setup Green Min</t>
  </si>
  <si>
    <t>Link To BH Setup Green Max</t>
  </si>
  <si>
    <t>Link To BH Setup Yellow Max</t>
  </si>
  <si>
    <t>Link To BH Run Yellow Min</t>
  </si>
  <si>
    <t>Link To BH Run Green Min</t>
  </si>
  <si>
    <t>Link To BH Run Green Max</t>
  </si>
  <si>
    <t>Link To BH Run Yellow Max</t>
  </si>
  <si>
    <t>Weld Overflow Setup Yellow Min</t>
  </si>
  <si>
    <t>Weld Overflow Setup Green Min</t>
  </si>
  <si>
    <t>Weld Overflow Setup Green Max</t>
  </si>
  <si>
    <t>Weld Overflow Setup Yellow Max</t>
  </si>
  <si>
    <t>Weld Overflow Run Yellow Min</t>
  </si>
  <si>
    <t>Weld Overflow Run Green Min</t>
  </si>
  <si>
    <t>Weld Overflow Run Green Max</t>
  </si>
  <si>
    <t>Weld Overflow Run Yellow Max</t>
  </si>
  <si>
    <t>Nom Width Setup Yellow Min</t>
  </si>
  <si>
    <t>Nom Width Setup Green Min</t>
  </si>
  <si>
    <t>Nom Width Setup Green Max</t>
  </si>
  <si>
    <t>Nom Width Setup Yellow Max</t>
  </si>
  <si>
    <t>Nom Width Run Yellow Min</t>
  </si>
  <si>
    <t>Nom Width Run Green Min</t>
  </si>
  <si>
    <t>Nom Width Run Green Max</t>
  </si>
  <si>
    <t>Nom Width Run Yellow Max</t>
  </si>
  <si>
    <t>008904-1-1</t>
  </si>
  <si>
    <t>ASB</t>
  </si>
  <si>
    <t>24-1006</t>
  </si>
  <si>
    <t>24-1007</t>
  </si>
  <si>
    <t>15,24-1006</t>
  </si>
  <si>
    <t>23,24-1006</t>
  </si>
  <si>
    <t>33,24-1006</t>
  </si>
  <si>
    <t>51,24-1006</t>
  </si>
  <si>
    <t>15,24-1007</t>
  </si>
  <si>
    <t>23,24-1007</t>
  </si>
  <si>
    <t>33,24-1007</t>
  </si>
  <si>
    <t>51,24-1007</t>
  </si>
  <si>
    <t>ASB-W</t>
  </si>
  <si>
    <t>OGPC-0024B</t>
  </si>
  <si>
    <t>24-1009</t>
  </si>
  <si>
    <t>15,24-1009</t>
  </si>
  <si>
    <t>SPC0019A</t>
  </si>
  <si>
    <t>SPC0020A</t>
  </si>
  <si>
    <t>37-5009</t>
  </si>
  <si>
    <t>37-5011</t>
  </si>
  <si>
    <t>OGPC-0027A</t>
  </si>
  <si>
    <t>000804</t>
  </si>
  <si>
    <t>test</t>
  </si>
  <si>
    <t>RH Spiral</t>
  </si>
  <si>
    <t>Spiral Hand</t>
  </si>
  <si>
    <t>OG360-075</t>
  </si>
  <si>
    <t>OG360-100</t>
  </si>
  <si>
    <t>OG360-150</t>
  </si>
  <si>
    <t>FWC1C</t>
  </si>
  <si>
    <t>FWC2C</t>
  </si>
  <si>
    <t>SROG360-100</t>
  </si>
  <si>
    <t>Inside Spiral</t>
  </si>
  <si>
    <t xml:space="preserve"> Setup</t>
  </si>
  <si>
    <t>SROG360-075</t>
  </si>
  <si>
    <t>STKCTBF042.0F</t>
  </si>
  <si>
    <t>Regular Spiral</t>
  </si>
  <si>
    <t>1</t>
  </si>
  <si>
    <t>R/S Spiral</t>
  </si>
  <si>
    <t>Thickness</t>
  </si>
  <si>
    <t>Width</t>
  </si>
  <si>
    <t>Loop Count(Actual)</t>
  </si>
  <si>
    <t>Loop Count(Visual)</t>
  </si>
  <si>
    <t>Linear Pitch</t>
  </si>
  <si>
    <t>AOI</t>
  </si>
  <si>
    <t>Run</t>
  </si>
  <si>
    <t>Length: 45.000 Feet
Overall Belt Width: 44.31 Inches
Application: Cooker
Straight Run
Rod/Link Material: T304
Weld: Single
Number of Rolls: 1
Mesh Material: HC
Mesh Desc:B72-32-16
Hold link C/C dimensions at 42-15/16 inches
Rods inserted every second spiral
Belt to have heavy duty non-collapsing links on both edges (straight run applications only)
*****
Tag PO PA21-16594
Configured PWP</t>
  </si>
  <si>
    <t>034319-1-1</t>
  </si>
  <si>
    <t>Weaving Spiral Inspection Run</t>
  </si>
  <si>
    <t>[SPIRAL FORMING]
CONVEYING SURFACE: 41-29/32
SPIRAL WIDTH: 41-21/32
PART NUMBER: B72-32-16
SPIRAL MATERIAL: HC
TOTAL RH SPIRALS: 720
TOTAL LH SPIRALS: 720
TOOLING: 0.420x0.180
TOOL LOCATION: 740
SPIRAL SIZE: 0.535x0.335
NUMBER OF LOOPS: 250
PITCH: SPECIAL SHORT PITCH 250 IN 41-21/32 INCHES
SPIRALS PER FT: 32 IN 12-3/32 INCHES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</si>
</sst>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5" formatCode="0.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0" fillId="0" borderId="2" xfId="0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0" fillId="0" borderId="4" xfId="0" applyBorder="1" applyAlignment="1">
      <alignment horizontal="center" textRotation="90"/>
    </xf>
    <xf numFmtId="0" fontId="0" fillId="0" borderId="5" xfId="0" applyBorder="1" applyAlignment="1">
      <alignment horizontal="center" textRotation="90"/>
    </xf>
    <xf numFmtId="0" fontId="0" fillId="0" borderId="7" xfId="0" applyBorder="1"/>
    <xf numFmtId="0" fontId="0" fillId="0" borderId="5" xfId="0" applyBorder="1"/>
    <xf numFmtId="0" fontId="0" fillId="0" borderId="3" xfId="0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 textRotation="90"/>
    </xf>
    <xf numFmtId="165" fontId="0" fillId="0" borderId="3" xfId="0" applyNumberFormat="1" applyBorder="1" applyAlignment="1">
      <alignment horizontal="center" textRotation="90"/>
    </xf>
    <xf numFmtId="165" fontId="0" fillId="0" borderId="5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0" xfId="0" applyNumberFormat="1"/>
    <xf numFmtId="1" fontId="0" fillId="0" borderId="5" xfId="0" applyNumberFormat="1" applyBorder="1" applyAlignment="1">
      <alignment horizontal="center" textRotation="90"/>
    </xf>
    <xf numFmtId="1" fontId="0" fillId="0" borderId="1" xfId="0" applyNumberFormat="1" applyBorder="1" applyAlignment="1">
      <alignment horizontal="center" textRotation="90"/>
    </xf>
    <xf numFmtId="0" fontId="0" fillId="0" borderId="8" xfId="0" applyNumberFormat="1" applyBorder="1" applyAlignment="1">
      <alignment horizontal="center"/>
    </xf>
    <xf numFmtId="0" fontId="0" fillId="0" borderId="11" xfId="0" applyFill="1" applyBorder="1"/>
    <xf numFmtId="0" fontId="0" fillId="4" borderId="1" xfId="0" applyFill="1" applyBorder="1" applyAlignment="1">
      <alignment horizontal="center"/>
    </xf>
    <xf numFmtId="0" fontId="0" fillId="0" borderId="3" xfId="0" applyBorder="1" applyAlignment="1">
      <alignment horizontal="center" textRotation="90" wrapText="1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165" fontId="0" fillId="5" borderId="0" xfId="0" applyNumberFormat="1" applyFill="1"/>
    <xf numFmtId="14" fontId="0" fillId="2" borderId="1" xfId="0" applyNumberFormat="1" applyFill="1" applyBorder="1" applyAlignment="1">
      <alignment horizontal="left"/>
    </xf>
    <xf numFmtId="0" fontId="0" fillId="6" borderId="0" xfId="0" applyFill="1"/>
    <xf numFmtId="0" fontId="0" fillId="0" borderId="5" xfId="0" applyFill="1" applyBorder="1"/>
    <xf numFmtId="0" fontId="0" fillId="0" borderId="2" xfId="0" applyBorder="1" applyAlignment="1">
      <alignment horizontal="center" textRotation="90" wrapText="1"/>
    </xf>
    <xf numFmtId="0" fontId="0" fillId="0" borderId="4" xfId="0" applyBorder="1" applyAlignment="1">
      <alignment horizontal="center" textRotation="90" wrapText="1"/>
    </xf>
    <xf numFmtId="0" fontId="0" fillId="8" borderId="0" xfId="0" applyFill="1"/>
    <xf numFmtId="0" fontId="0" fillId="6" borderId="1" xfId="0" applyFill="1" applyBorder="1"/>
    <xf numFmtId="0" fontId="0" fillId="6" borderId="1" xfId="0" applyFill="1" applyBorder="1" applyAlignment="1">
      <alignment horizontal="left"/>
    </xf>
    <xf numFmtId="165" fontId="0" fillId="6" borderId="1" xfId="0" applyNumberFormat="1" applyFill="1" applyBorder="1" applyAlignment="1">
      <alignment horizontal="left"/>
    </xf>
    <xf numFmtId="0" fontId="0" fillId="0" borderId="9" xfId="0" applyBorder="1"/>
    <xf numFmtId="0" fontId="0" fillId="0" borderId="6" xfId="0" applyBorder="1"/>
    <xf numFmtId="0" fontId="0" fillId="0" borderId="5" xfId="0" applyFont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Border="1"/>
    <xf numFmtId="0" fontId="0" fillId="3" borderId="0" xfId="0" applyFill="1"/>
    <xf numFmtId="0" fontId="0" fillId="10" borderId="1" xfId="0" applyFill="1" applyBorder="1"/>
    <xf numFmtId="0" fontId="0" fillId="10" borderId="3" xfId="0" applyFill="1" applyBorder="1"/>
    <xf numFmtId="0" fontId="0" fillId="10" borderId="3" xfId="0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0" fillId="10" borderId="0" xfId="0" applyFill="1"/>
    <xf numFmtId="0" fontId="0" fillId="0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11" borderId="0" xfId="0" applyFill="1" applyAlignment="1"/>
    <xf numFmtId="0" fontId="0" fillId="0" borderId="1" xfId="0" applyFill="1" applyBorder="1" applyAlignment="1">
      <alignment horizontal="center" textRotation="90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textRotation="90"/>
    </xf>
    <xf numFmtId="0" fontId="0" fillId="0" borderId="1" xfId="0" applyNumberFormat="1" applyBorder="1"/>
    <xf numFmtId="0" fontId="0" fillId="0" borderId="3" xfId="0" applyNumberFormat="1" applyBorder="1"/>
    <xf numFmtId="0" fontId="0" fillId="0" borderId="1" xfId="0" applyBorder="1" applyAlignment="1">
      <alignment horizontal="left"/>
    </xf>
    <xf numFmtId="0" fontId="0" fillId="0" borderId="1" xfId="0" applyNumberFormat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5" xfId="0" applyFill="1" applyBorder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14" borderId="5" xfId="0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9" borderId="1" xfId="0" applyFont="1" applyFill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Fill="1"/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14" fontId="0" fillId="0" borderId="0" xfId="0" applyNumberFormat="1"/>
    <xf numFmtId="19" fontId="0" fillId="0" borderId="0" xfId="0" applyNumberFormat="1"/>
    <xf numFmtId="0" fontId="1" fillId="15" borderId="5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12" borderId="1" xfId="0" applyFill="1" applyBorder="1" applyAlignment="1">
      <alignment horizontal="center" vertical="center" textRotation="90"/>
    </xf>
    <xf numFmtId="0" fontId="1" fillId="12" borderId="5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0" fillId="15" borderId="1" xfId="0" applyFill="1" applyBorder="1" applyAlignment="1">
      <alignment horizontal="center" vertical="center" textRotation="90"/>
    </xf>
    <xf numFmtId="0" fontId="1" fillId="5" borderId="1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5" borderId="8" xfId="0" applyFill="1" applyBorder="1" applyAlignment="1">
      <alignment horizontal="center" vertical="center" textRotation="90"/>
    </xf>
    <xf numFmtId="0" fontId="0" fillId="5" borderId="11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4" borderId="1" xfId="0" applyFill="1" applyBorder="1" applyAlignment="1">
      <alignment horizontal="center" vertical="center" textRotation="90"/>
    </xf>
    <xf numFmtId="0" fontId="1" fillId="4" borderId="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0" borderId="8" xfId="0" applyFill="1" applyBorder="1" applyAlignment="1">
      <alignment horizontal="left" vertical="center"/>
    </xf>
    <xf numFmtId="0" fontId="0" fillId="10" borderId="11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center"/>
    </xf>
    <xf numFmtId="0" fontId="0" fillId="10" borderId="8" xfId="0" applyFill="1" applyBorder="1" applyAlignment="1">
      <alignment horizontal="left" vertical="top" wrapText="1"/>
    </xf>
    <xf numFmtId="0" fontId="0" fillId="10" borderId="11" xfId="0" applyFill="1" applyBorder="1" applyAlignment="1">
      <alignment horizontal="left" vertical="top" wrapText="1"/>
    </xf>
    <xf numFmtId="0" fontId="0" fillId="10" borderId="3" xfId="0" applyFill="1" applyBorder="1" applyAlignment="1">
      <alignment horizontal="left" vertical="top" wrapText="1"/>
    </xf>
    <xf numFmtId="0" fontId="0" fillId="10" borderId="1" xfId="0" applyFill="1" applyBorder="1" applyAlignment="1">
      <alignment horizontal="left" vertical="top" wrapText="1"/>
    </xf>
    <xf numFmtId="0" fontId="1" fillId="8" borderId="5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 textRotation="90"/>
    </xf>
    <xf numFmtId="0" fontId="1" fillId="7" borderId="5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 textRotation="90"/>
    </xf>
    <xf numFmtId="0" fontId="0" fillId="8" borderId="1" xfId="0" applyFill="1" applyBorder="1" applyAlignment="1">
      <alignment horizontal="center" vertical="center" textRotation="90"/>
    </xf>
    <xf numFmtId="0" fontId="1" fillId="11" borderId="5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 textRotation="90"/>
    </xf>
    <xf numFmtId="0" fontId="1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228">
    <dxf>
      <alignment horizontal="general" vertical="bottom" textRotation="9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69622FFF-0416-45DD-AD39-649812EA911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5</xdr:row>
          <xdr:rowOff>123825</xdr:rowOff>
        </xdr:from>
        <xdr:to>
          <xdr:col>3</xdr:col>
          <xdr:colOff>304800</xdr:colOff>
          <xdr:row>9</xdr:row>
          <xdr:rowOff>57150</xdr:rowOff>
        </xdr:to>
        <xdr:sp macro="" textlink="">
          <xdr:nvSpPr>
            <xdr:cNvPr id="4102" name="Connec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123825</xdr:rowOff>
        </xdr:from>
        <xdr:to>
          <xdr:col>2</xdr:col>
          <xdr:colOff>47625</xdr:colOff>
          <xdr:row>12</xdr:row>
          <xdr:rowOff>76200</xdr:rowOff>
        </xdr:to>
        <xdr:sp macro="" textlink="">
          <xdr:nvSpPr>
            <xdr:cNvPr id="4103" name="Lock_Prorgram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9</xdr:row>
          <xdr:rowOff>123825</xdr:rowOff>
        </xdr:from>
        <xdr:to>
          <xdr:col>3</xdr:col>
          <xdr:colOff>381000</xdr:colOff>
          <xdr:row>12</xdr:row>
          <xdr:rowOff>76200</xdr:rowOff>
        </xdr:to>
        <xdr:sp macro="" textlink="">
          <xdr:nvSpPr>
            <xdr:cNvPr id="4104" name="Unlock_Program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41</xdr:row>
          <xdr:rowOff>400050</xdr:rowOff>
        </xdr:from>
        <xdr:to>
          <xdr:col>5</xdr:col>
          <xdr:colOff>1657350</xdr:colOff>
          <xdr:row>42</xdr:row>
          <xdr:rowOff>47625</xdr:rowOff>
        </xdr:to>
        <xdr:sp macro="" textlink="">
          <xdr:nvSpPr>
            <xdr:cNvPr id="6146" name="Test_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piral_Dims_Table" displayName="Spiral_Dims_Table" ref="B2:AA12" totalsRowShown="0" headerRowDxfId="223" dataDxfId="221" headerRowBorderDxfId="222" tableBorderDxfId="220" totalsRowBorderDxfId="219">
  <autoFilter ref="B2:AA12" xr:uid="{00000000-0009-0000-0100-000002000000}"/>
  <tableColumns count="26">
    <tableColumn id="1" xr3:uid="{00000000-0010-0000-0000-000001000000}" name="Index" dataDxfId="218"/>
    <tableColumn id="4" xr3:uid="{00000000-0010-0000-0000-000004000000}" name="C_B_15" dataDxfId="217"/>
    <tableColumn id="2" xr3:uid="{00000000-0010-0000-0000-000002000000}" name="C_B_16" dataDxfId="216"/>
    <tableColumn id="3" xr3:uid="{00000000-0010-0000-0000-000003000000}" name="C_B_17" dataDxfId="215"/>
    <tableColumn id="5" xr3:uid="{00000000-0010-0000-0000-000005000000}" name="C_D_15" dataDxfId="214"/>
    <tableColumn id="6" xr3:uid="{00000000-0010-0000-0000-000006000000}" name="C_D_16" dataDxfId="213"/>
    <tableColumn id="7" xr3:uid="{00000000-0010-0000-0000-000007000000}" name="C_D_17" dataDxfId="212"/>
    <tableColumn id="8" xr3:uid="{00000000-0010-0000-0000-000008000000}" name="C_E_15" dataDxfId="211"/>
    <tableColumn id="10" xr3:uid="{00000000-0010-0000-0000-00000A000000}" name="C_E_16" dataDxfId="210"/>
    <tableColumn id="11" xr3:uid="{00000000-0010-0000-0000-00000B000000}" name="C_E_17" dataDxfId="209"/>
    <tableColumn id="26" xr3:uid="{00000000-0010-0000-0000-00001A000000}" name="F_B_15" dataDxfId="208"/>
    <tableColumn id="25" xr3:uid="{00000000-0010-0000-0000-000019000000}" name="F_B_16" dataDxfId="207"/>
    <tableColumn id="24" xr3:uid="{00000000-0010-0000-0000-000018000000}" name="F_B_17" dataDxfId="206"/>
    <tableColumn id="23" xr3:uid="{00000000-0010-0000-0000-000017000000}" name="F_D_15" dataDxfId="205"/>
    <tableColumn id="22" xr3:uid="{00000000-0010-0000-0000-000016000000}" name="F_D_16" dataDxfId="204"/>
    <tableColumn id="21" xr3:uid="{00000000-0010-0000-0000-000015000000}" name="F_D_17" dataDxfId="203"/>
    <tableColumn id="20" xr3:uid="{00000000-0010-0000-0000-000014000000}" name="F_E_15" dataDxfId="202"/>
    <tableColumn id="15" xr3:uid="{00000000-0010-0000-0000-00000F000000}" name="F_E_16" dataDxfId="201"/>
    <tableColumn id="13" xr3:uid="{00000000-0010-0000-0000-00000D000000}" name="F_E_17" dataDxfId="200"/>
    <tableColumn id="9" xr3:uid="{00000000-0010-0000-0000-000009000000}" name="G_15" dataDxfId="199">
      <calculatedColumnFormula>Spiral_Dims_Table[[#This Row],[C_D_15]]</calculatedColumnFormula>
    </tableColumn>
    <tableColumn id="17" xr3:uid="{00000000-0010-0000-0000-000011000000}" name="G_16" dataDxfId="198"/>
    <tableColumn id="16" xr3:uid="{00000000-0010-0000-0000-000010000000}" name="G_17" dataDxfId="197"/>
    <tableColumn id="12" xr3:uid="{00000000-0010-0000-0000-00000C000000}" name="Leg_Len_15"/>
    <tableColumn id="19" xr3:uid="{00000000-0010-0000-0000-000013000000}" name="Leg_Len_16" dataDxfId="196"/>
    <tableColumn id="18" xr3:uid="{00000000-0010-0000-0000-000012000000}" name="Leg_Len_17" dataDxfId="195"/>
    <tableColumn id="14" xr3:uid="{00000000-0010-0000-0000-00000E000000}" name="Fabric_Wid" dataDxfId="1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Spiral_Length_Table" displayName="Spiral_Length_Table" ref="AC2:AU63" totalsRowShown="0" headerRowDxfId="193" dataDxfId="191" headerRowBorderDxfId="192" tableBorderDxfId="190" totalsRowBorderDxfId="189">
  <autoFilter ref="AC2:AU63" xr:uid="{00000000-0009-0000-0100-000003000000}"/>
  <tableColumns count="19">
    <tableColumn id="1" xr3:uid="{00000000-0010-0000-0100-000001000000}" name="Index" dataDxfId="188"/>
    <tableColumn id="4" xr3:uid="{00000000-0010-0000-0100-000004000000}" name="C_ADJ_15" dataDxfId="187"/>
    <tableColumn id="2" xr3:uid="{00000000-0010-0000-0100-000002000000}" name="C_ADJ_16" dataDxfId="186"/>
    <tableColumn id="3" xr3:uid="{00000000-0010-0000-0100-000003000000}" name="C_ADJ_17" dataDxfId="185"/>
    <tableColumn id="5" xr3:uid="{00000000-0010-0000-0100-000005000000}" name="C_Long_Leg_15" dataDxfId="184"/>
    <tableColumn id="6" xr3:uid="{00000000-0010-0000-0100-000006000000}" name="C_Long_Leg_16" dataDxfId="183"/>
    <tableColumn id="7" xr3:uid="{00000000-0010-0000-0100-000007000000}" name="C_Long_Leg_17" dataDxfId="182"/>
    <tableColumn id="19" xr3:uid="{00000000-0010-0000-0100-000013000000}" name="C_Triangle_Leg_15" dataDxfId="181">
      <calculatedColumnFormula>Spiral_Length_Table[[#This Row],[C_Long_Leg_15]]</calculatedColumnFormula>
    </tableColumn>
    <tableColumn id="18" xr3:uid="{00000000-0010-0000-0100-000012000000}" name="C_Triangle_Leg_16" dataDxfId="180">
      <calculatedColumnFormula>Spiral_Length_Table[[#This Row],[C_Long_Leg_16]]</calculatedColumnFormula>
    </tableColumn>
    <tableColumn id="17" xr3:uid="{00000000-0010-0000-0100-000011000000}" name="C_Triangle_Leg_17" dataDxfId="179">
      <calculatedColumnFormula>Spiral_Length_Table[[#This Row],[C_Long_Leg_17]]</calculatedColumnFormula>
    </tableColumn>
    <tableColumn id="13" xr3:uid="{00000000-0010-0000-0100-00000D000000}" name="F_ADJ_15" dataDxfId="178"/>
    <tableColumn id="12" xr3:uid="{00000000-0010-0000-0100-00000C000000}" name="F_ADJ_16" dataDxfId="177"/>
    <tableColumn id="9" xr3:uid="{00000000-0010-0000-0100-000009000000}" name="F_ADJ_17" dataDxfId="176"/>
    <tableColumn id="16" xr3:uid="{00000000-0010-0000-0100-000010000000}" name="F_Long_Leg_15" dataDxfId="175"/>
    <tableColumn id="15" xr3:uid="{00000000-0010-0000-0100-00000F000000}" name="F_Long_Leg_16" dataDxfId="174"/>
    <tableColumn id="14" xr3:uid="{00000000-0010-0000-0100-00000E000000}" name="F_Long_Leg_17" dataDxfId="173"/>
    <tableColumn id="8" xr3:uid="{00000000-0010-0000-0100-000008000000}" name="F_Triangle_Leg_15" dataDxfId="172"/>
    <tableColumn id="10" xr3:uid="{00000000-0010-0000-0100-00000A000000}" name="F_Triangle_Leg_16" dataDxfId="171"/>
    <tableColumn id="11" xr3:uid="{00000000-0010-0000-0100-00000B000000}" name="F_Triangle_Leg_17" dataDxfId="1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Spiral_Tolerance_Table" displayName="Spiral_Tolerance_Table" ref="AW2:BA21" totalsRowShown="0" headerRowDxfId="169" headerRowBorderDxfId="168" tableBorderDxfId="167" totalsRowBorderDxfId="166">
  <autoFilter ref="AW2:BA21" xr:uid="{00000000-0009-0000-0100-000004000000}"/>
  <tableColumns count="5">
    <tableColumn id="1" xr3:uid="{00000000-0010-0000-0200-000001000000}" name="Dimension" dataDxfId="165"/>
    <tableColumn id="4" xr3:uid="{00000000-0010-0000-0200-000004000000}" name="Yellow Min" dataDxfId="164"/>
    <tableColumn id="2" xr3:uid="{00000000-0010-0000-0200-000002000000}" name="Green Min Tolerance" dataDxfId="163"/>
    <tableColumn id="3" xr3:uid="{00000000-0010-0000-0200-000003000000}" name="Green Max Tolerance" dataDxfId="162"/>
    <tableColumn id="5" xr3:uid="{00000000-0010-0000-0200-000005000000}" name="Yellow Max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Spiral_Drawing_Lookup_Table" displayName="Spiral_Drawing_Lookup_Table" ref="BC2:BJ54" totalsRowShown="0" headerRowDxfId="160" dataDxfId="158" headerRowBorderDxfId="159" tableBorderDxfId="157" totalsRowBorderDxfId="156">
  <autoFilter ref="BC2:BJ54" xr:uid="{00000000-0009-0000-0100-000005000000}"/>
  <sortState xmlns:xlrd2="http://schemas.microsoft.com/office/spreadsheetml/2017/richdata2" ref="BC3:BE16">
    <sortCondition ref="BC2:BC16"/>
  </sortState>
  <tableColumns count="8">
    <tableColumn id="1" xr3:uid="{00000000-0010-0000-0300-000001000000}" name="Belt" dataDxfId="155"/>
    <tableColumn id="2" xr3:uid="{00000000-0010-0000-0300-000002000000}" name="Inside / Regular" dataDxfId="154"/>
    <tableColumn id="3" xr3:uid="{00000000-0010-0000-0300-000003000000}" name="Outside" dataDxfId="153"/>
    <tableColumn id="4" xr3:uid="{00000000-0010-0000-0300-000004000000}" name="Spec" dataDxfId="152">
      <calculatedColumnFormula>-#REF!</calculatedColumnFormula>
    </tableColumn>
    <tableColumn id="5" xr3:uid="{00000000-0010-0000-0300-000005000000}" name="JWI" dataDxfId="151"/>
    <tableColumn id="6" xr3:uid="{00000000-0010-0000-0300-000006000000}" name="Conveying Surface_x000a_Inside / Regular" dataDxfId="150"/>
    <tableColumn id="7" xr3:uid="{00000000-0010-0000-0300-000007000000}" name="Conveying Surface_x000a_Outside" dataDxfId="149"/>
    <tableColumn id="8" xr3:uid="{00000000-0010-0000-0300-000008000000}" name="Number of Spirals per Pitch" dataDxfId="1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SC_Rod_Spec_Table" displayName="SC_Rod_Spec_Table" ref="BL2:BX48" totalsRowShown="0" headerRowDxfId="147" dataDxfId="145" headerRowBorderDxfId="146" tableBorderDxfId="144" totalsRowBorderDxfId="143">
  <autoFilter ref="BL2:BX48" xr:uid="{00000000-0009-0000-0100-000006000000}"/>
  <tableColumns count="13">
    <tableColumn id="1" xr3:uid="{00000000-0010-0000-0400-000001000000}" name="Belt" dataDxfId="142"/>
    <tableColumn id="2" xr3:uid="{00000000-0010-0000-0400-000002000000}" name="Specification" dataDxfId="141"/>
    <tableColumn id="3" xr3:uid="{00000000-0010-0000-0400-000003000000}" name="Insp Plan" dataDxfId="140"/>
    <tableColumn id="4" xr3:uid="{00000000-0010-0000-0400-000004000000}" name="Rod Length Factor" dataDxfId="139"/>
    <tableColumn id="5" xr3:uid="{00000000-0010-0000-0400-000005000000}" name="Rod Size" dataDxfId="138"/>
    <tableColumn id="6" xr3:uid="{00000000-0010-0000-0400-000006000000}" name="Yellow Min Wire Diameter" dataDxfId="137"/>
    <tableColumn id="7" xr3:uid="{00000000-0010-0000-0400-000007000000}" name="Green Min Wire Diameter" dataDxfId="136"/>
    <tableColumn id="8" xr3:uid="{00000000-0010-0000-0400-000008000000}" name="Green Max Wire Diameter" dataDxfId="135"/>
    <tableColumn id="9" xr3:uid="{00000000-0010-0000-0400-000009000000}" name="Yellow Max Wire Diameter" dataDxfId="134"/>
    <tableColumn id="10" xr3:uid="{00000000-0010-0000-0400-00000A000000}" name="Yellow Min Rod Length" dataDxfId="133">
      <calculatedColumnFormula>SC_Rod_Spec_Table[[#This Row],[Green Min Rod Length]]</calculatedColumnFormula>
    </tableColumn>
    <tableColumn id="11" xr3:uid="{00000000-0010-0000-0400-00000B000000}" name="Green Min Rod Length" dataDxfId="132"/>
    <tableColumn id="12" xr3:uid="{00000000-0010-0000-0400-00000C000000}" name="Green Max Rod Length" dataDxfId="131"/>
    <tableColumn id="13" xr3:uid="{00000000-0010-0000-0400-00000D000000}" name="Yellow Max Rod Length" dataDxfId="130">
      <calculatedColumnFormula>SC_Rod_Spec_Table[[#This Row],[Green Max Rod Length]]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Woven_Spiral_Table" displayName="Woven_Spiral_Table" ref="BZ2:DL9" totalsRowShown="0" headerRowDxfId="129" dataDxfId="127" headerRowBorderDxfId="128" tableBorderDxfId="126" totalsRowBorderDxfId="125">
  <autoFilter ref="BZ2:DL9" xr:uid="{00000000-0009-0000-0100-000001000000}"/>
  <tableColumns count="39">
    <tableColumn id="1" xr3:uid="{00000000-0010-0000-0500-000001000000}" name="Belt Type" dataDxfId="124"/>
    <tableColumn id="2" xr3:uid="{00000000-0010-0000-0500-000002000000}" name="Spiral Width Setup Yellow Min" dataDxfId="123"/>
    <tableColumn id="12" xr3:uid="{00000000-0010-0000-0500-00000C000000}" name="Spiral Width Setup Green Min" dataDxfId="122"/>
    <tableColumn id="13" xr3:uid="{00000000-0010-0000-0500-00000D000000}" name="Spiral Width Setup Green Max" dataDxfId="121"/>
    <tableColumn id="14" xr3:uid="{00000000-0010-0000-0500-00000E000000}" name="Spiral Width Setup Yellow Max" dataDxfId="120"/>
    <tableColumn id="37" xr3:uid="{00000000-0010-0000-0500-000025000000}" name="Spiral Width Run Yellow Min" dataDxfId="119"/>
    <tableColumn id="36" xr3:uid="{00000000-0010-0000-0500-000024000000}" name="Spiral Width Run Green Min" dataDxfId="118"/>
    <tableColumn id="35" xr3:uid="{00000000-0010-0000-0500-000023000000}" name="Spiral Width Run Green Max" dataDxfId="117"/>
    <tableColumn id="34" xr3:uid="{00000000-0010-0000-0500-000022000000}" name="Spiral Width Run Yellow Max" dataDxfId="116"/>
    <tableColumn id="3" xr3:uid="{00000000-0010-0000-0500-000003000000}" name="Spiral Height Run Yellow Min" dataDxfId="115"/>
    <tableColumn id="17" xr3:uid="{00000000-0010-0000-0500-000011000000}" name="Spiral Height Run Green Min" dataDxfId="114"/>
    <tableColumn id="16" xr3:uid="{00000000-0010-0000-0500-000010000000}" name="Spiral Height Run Green Max" dataDxfId="113"/>
    <tableColumn id="15" xr3:uid="{00000000-0010-0000-0500-00000F000000}" name="Spiral Height Run Yellow Max" dataDxfId="112"/>
    <tableColumn id="4" xr3:uid="{00000000-0010-0000-0500-000004000000}" name="Spiral Thickness Setup Yellow Min" dataDxfId="111"/>
    <tableColumn id="5" xr3:uid="{00000000-0010-0000-0500-000005000000}" name="Spiral Thickness Setup Green Min" dataDxfId="110"/>
    <tableColumn id="6" xr3:uid="{00000000-0010-0000-0500-000006000000}" name="Spiral Thickness Setup Green Max" dataDxfId="109"/>
    <tableColumn id="7" xr3:uid="{00000000-0010-0000-0500-000007000000}" name="Spiral Thickness Setup Yellow Max" dataDxfId="108"/>
    <tableColumn id="21" xr3:uid="{00000000-0010-0000-0500-000015000000}" name="Spiral Thickness Run Yellow Min" dataDxfId="107"/>
    <tableColumn id="20" xr3:uid="{00000000-0010-0000-0500-000014000000}" name="Spiral Thickness Run Green Min" dataDxfId="106"/>
    <tableColumn id="19" xr3:uid="{00000000-0010-0000-0500-000013000000}" name="Spiral Thickness Run Green Max" dataDxfId="105"/>
    <tableColumn id="18" xr3:uid="{00000000-0010-0000-0500-000012000000}" name="Spiral Thickness Run Yellow Max" dataDxfId="104"/>
    <tableColumn id="8" xr3:uid="{00000000-0010-0000-0500-000008000000}" name="Loop Count Setup Yellow Min" dataDxfId="103"/>
    <tableColumn id="24" xr3:uid="{00000000-0010-0000-0500-000018000000}" name="Loop Count Setup Green Min" dataDxfId="102"/>
    <tableColumn id="23" xr3:uid="{00000000-0010-0000-0500-000017000000}" name="Loop Count Setup Green Max" dataDxfId="101"/>
    <tableColumn id="22" xr3:uid="{00000000-0010-0000-0500-000016000000}" name="Loop Count Setup Yellow Max" dataDxfId="100"/>
    <tableColumn id="9" xr3:uid="{00000000-0010-0000-0500-000009000000}" name="Loop Count Run Yellow Min" dataDxfId="99"/>
    <tableColumn id="27" xr3:uid="{00000000-0010-0000-0500-00001B000000}" name="Loop Count Run Green Min" dataDxfId="98"/>
    <tableColumn id="26" xr3:uid="{00000000-0010-0000-0500-00001A000000}" name="Loop Count Run Green Max" dataDxfId="97"/>
    <tableColumn id="25" xr3:uid="{00000000-0010-0000-0500-000019000000}" name="Loop Count Run Yellow Max" dataDxfId="96"/>
    <tableColumn id="10" xr3:uid="{00000000-0010-0000-0500-00000A000000}" name="Linear Pitch Setup Yellow Min" dataDxfId="95"/>
    <tableColumn id="30" xr3:uid="{00000000-0010-0000-0500-00001E000000}" name="Linear Pitch Setup Green Min" dataDxfId="94"/>
    <tableColumn id="29" xr3:uid="{00000000-0010-0000-0500-00001D000000}" name="Linear Pitch Setup Green Max" dataDxfId="93"/>
    <tableColumn id="28" xr3:uid="{00000000-0010-0000-0500-00001C000000}" name="Linear Pitch Setup Yellow Max" dataDxfId="92"/>
    <tableColumn id="33" xr3:uid="{00000000-0010-0000-0500-000021000000}" name="Linear Pitch Run Yellow Min" dataDxfId="91"/>
    <tableColumn id="32" xr3:uid="{00000000-0010-0000-0500-000020000000}" name="Linear Pitch Run Green Min" dataDxfId="90"/>
    <tableColumn id="31" xr3:uid="{00000000-0010-0000-0500-00001F000000}" name="Linear Pitch Run Green Max" dataDxfId="89"/>
    <tableColumn id="11" xr3:uid="{00000000-0010-0000-0500-00000B000000}" name="Linear Pitch Run Yellow Max" dataDxfId="88"/>
    <tableColumn id="38" xr3:uid="{00000000-0010-0000-0500-000026000000}" name="InsP Plan" dataDxfId="87"/>
    <tableColumn id="39" xr3:uid="{00000000-0010-0000-0500-000027000000}" name="Specification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rimp_Table" displayName="Crimp_Table" ref="DN2:EF14" totalsRowShown="0" headerRowDxfId="85" headerRowBorderDxfId="84" tableBorderDxfId="83" totalsRowBorderDxfId="82">
  <autoFilter ref="DN2:EF14" xr:uid="{00000000-0009-0000-0100-000007000000}"/>
  <sortState xmlns:xlrd2="http://schemas.microsoft.com/office/spreadsheetml/2017/richdata2" ref="DN3:EF10">
    <sortCondition ref="DN2:DN10"/>
  </sortState>
  <tableColumns count="19">
    <tableColumn id="1" xr3:uid="{00000000-0010-0000-0600-000001000000}" name="Belt Type" dataDxfId="81"/>
    <tableColumn id="2" xr3:uid="{00000000-0010-0000-0600-000002000000}" name="Crimp Depth Setup Yellow Min" dataDxfId="80"/>
    <tableColumn id="3" xr3:uid="{00000000-0010-0000-0600-000003000000}" name="Crimp Depth Setup Green Min" dataDxfId="79"/>
    <tableColumn id="4" xr3:uid="{00000000-0010-0000-0600-000004000000}" name="Crimp Depth Setup Green Max" dataDxfId="78"/>
    <tableColumn id="5" xr3:uid="{00000000-0010-0000-0600-000005000000}" name="Crimp Depth Setup Yellow Max" dataDxfId="77"/>
    <tableColumn id="6" xr3:uid="{00000000-0010-0000-0600-000006000000}" name="Crimp Depth Run Yellow Min" dataDxfId="76"/>
    <tableColumn id="7" xr3:uid="{00000000-0010-0000-0600-000007000000}" name="Crimp Depth Run Green Min" dataDxfId="75"/>
    <tableColumn id="8" xr3:uid="{00000000-0010-0000-0600-000008000000}" name="Crimp Depth Run Green Max" dataDxfId="74"/>
    <tableColumn id="9" xr3:uid="{00000000-0010-0000-0600-000009000000}" name="Crimp Depth Run Yellow Max" dataDxfId="73"/>
    <tableColumn id="10" xr3:uid="{00000000-0010-0000-0600-00000A000000}" name="Nominal Width Setup Yellow Min" dataDxfId="72"/>
    <tableColumn id="11" xr3:uid="{00000000-0010-0000-0600-00000B000000}" name="Nominal Width Setup Green Min" dataDxfId="71"/>
    <tableColumn id="12" xr3:uid="{00000000-0010-0000-0600-00000C000000}" name="Nominal Width Setup Green Max" dataDxfId="70"/>
    <tableColumn id="13" xr3:uid="{00000000-0010-0000-0600-00000D000000}" name="Nominal Width Setup Yellow Max" dataDxfId="69"/>
    <tableColumn id="14" xr3:uid="{00000000-0010-0000-0600-00000E000000}" name="Nominal Width Run Yellow Min" dataDxfId="68"/>
    <tableColumn id="15" xr3:uid="{00000000-0010-0000-0600-00000F000000}" name="Nominal Width Run Green Min" dataDxfId="67"/>
    <tableColumn id="16" xr3:uid="{00000000-0010-0000-0600-000010000000}" name="Nominal Width Run Green Max" dataDxfId="66"/>
    <tableColumn id="17" xr3:uid="{00000000-0010-0000-0600-000011000000}" name="Nominal Width Run Yellow Max" dataDxfId="65"/>
    <tableColumn id="18" xr3:uid="{00000000-0010-0000-0600-000012000000}" name="Insp Plan" dataDxfId="64"/>
    <tableColumn id="19" xr3:uid="{00000000-0010-0000-0600-000013000000}" name="Specification" dataDxfId="6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B5_Weave_Table" displayName="CB5_Weave_Table" ref="EH2:FP4" totalsRowShown="0" headerRowDxfId="62" dataDxfId="60" headerRowBorderDxfId="61" tableBorderDxfId="59" totalsRowBorderDxfId="58">
  <autoFilter ref="EH2:FP4" xr:uid="{00000000-0009-0000-0100-000008000000}"/>
  <tableColumns count="35">
    <tableColumn id="1" xr3:uid="{00000000-0010-0000-0700-000001000000}" name="Belt Type" dataDxfId="57"/>
    <tableColumn id="11" xr3:uid="{00000000-0010-0000-0700-00000B000000}" name="Flat Wire Height Setup Yellow Min" dataDxfId="56"/>
    <tableColumn id="10" xr3:uid="{00000000-0010-0000-0700-00000A000000}" name="Flat Wire Height Setup Green Min" dataDxfId="55"/>
    <tableColumn id="9" xr3:uid="{00000000-0010-0000-0700-000009000000}" name="Flat Wire Height Setup Green Max" dataDxfId="54"/>
    <tableColumn id="8" xr3:uid="{00000000-0010-0000-0700-000008000000}" name="Flat Wire Height Setup Yellow Max" dataDxfId="53"/>
    <tableColumn id="7" xr3:uid="{00000000-0010-0000-0700-000007000000}" name="Flat Wire Height Run Yellow Min" dataDxfId="52"/>
    <tableColumn id="6" xr3:uid="{00000000-0010-0000-0700-000006000000}" name="Flat Wire Height Run Green Min" dataDxfId="51"/>
    <tableColumn id="5" xr3:uid="{00000000-0010-0000-0700-000005000000}" name="Flat Wire Height Run Green Max" dataDxfId="50"/>
    <tableColumn id="4" xr3:uid="{00000000-0010-0000-0700-000004000000}" name="Flat Wire Height Run Yellow Max" dataDxfId="49"/>
    <tableColumn id="2" xr3:uid="{00000000-0010-0000-0700-000002000000}" name="Spiral Outside Width Setup Yellow Min" dataDxfId="48"/>
    <tableColumn id="12" xr3:uid="{00000000-0010-0000-0700-00000C000000}" name="Spiral Outside Width Setup Green Min" dataDxfId="47"/>
    <tableColumn id="13" xr3:uid="{00000000-0010-0000-0700-00000D000000}" name="Spiral Outside Width Setup Green Max" dataDxfId="46"/>
    <tableColumn id="14" xr3:uid="{00000000-0010-0000-0700-00000E000000}" name="Spiral Outside Width Setup Yellow Max" dataDxfId="45"/>
    <tableColumn id="37" xr3:uid="{00000000-0010-0000-0700-000025000000}" name="Spiral Outside Width Run Yellow Min" dataDxfId="44"/>
    <tableColumn id="36" xr3:uid="{00000000-0010-0000-0700-000024000000}" name="Spiral Outside Width Run Green Min" dataDxfId="43"/>
    <tableColumn id="35" xr3:uid="{00000000-0010-0000-0700-000023000000}" name="Spiral Outside Width Run Green Max" dataDxfId="42"/>
    <tableColumn id="34" xr3:uid="{00000000-0010-0000-0700-000022000000}" name="Spiral Outside Width Run Yellow Max" dataDxfId="41"/>
    <tableColumn id="29" xr3:uid="{00000000-0010-0000-0700-00001D000000}" name="Spiral Outside Height Setup Yellow Min" dataDxfId="40"/>
    <tableColumn id="28" xr3:uid="{00000000-0010-0000-0700-00001C000000}" name="Spiral Outside Height Setup Green Min" dataDxfId="39"/>
    <tableColumn id="27" xr3:uid="{00000000-0010-0000-0700-00001B000000}" name="Spiral Outside Height Setup Green Max" dataDxfId="38"/>
    <tableColumn id="26" xr3:uid="{00000000-0010-0000-0700-00001A000000}" name="Spiral Outside Height Setup Yellow Max" dataDxfId="37"/>
    <tableColumn id="3" xr3:uid="{00000000-0010-0000-0700-000003000000}" name="Spiral Outside Height Run Yellow Min" dataDxfId="36"/>
    <tableColumn id="17" xr3:uid="{00000000-0010-0000-0700-000011000000}" name="Spiral Outside Height Run Green Min" dataDxfId="35"/>
    <tableColumn id="16" xr3:uid="{00000000-0010-0000-0700-000010000000}" name="Spiral Outside Height Run Green Max" dataDxfId="34"/>
    <tableColumn id="15" xr3:uid="{00000000-0010-0000-0700-00000F000000}" name="Spiral Outside Height Run Yellow Max" dataDxfId="33"/>
    <tableColumn id="25" xr3:uid="{00000000-0010-0000-0700-000019000000}" name="Center To Center Setup Yellow Min" dataDxfId="32"/>
    <tableColumn id="24" xr3:uid="{00000000-0010-0000-0700-000018000000}" name="Center To Center Setup Green Min" dataDxfId="31"/>
    <tableColumn id="23" xr3:uid="{00000000-0010-0000-0700-000017000000}" name="Center To Center Setup Green Max" dataDxfId="30"/>
    <tableColumn id="22" xr3:uid="{00000000-0010-0000-0700-000016000000}" name="Center To Center Setup Yellow Max" dataDxfId="29"/>
    <tableColumn id="21" xr3:uid="{00000000-0010-0000-0700-000015000000}" name="Center To Center Run Yellow Min" dataDxfId="28"/>
    <tableColumn id="20" xr3:uid="{00000000-0010-0000-0700-000014000000}" name="Center To Center Run Green Min" dataDxfId="27"/>
    <tableColumn id="19" xr3:uid="{00000000-0010-0000-0700-000013000000}" name="Center To Center Run Green Max" dataDxfId="26"/>
    <tableColumn id="18" xr3:uid="{00000000-0010-0000-0700-000012000000}" name="Center To Center Run Yellow Max" dataDxfId="25"/>
    <tableColumn id="38" xr3:uid="{00000000-0010-0000-0700-000026000000}" name="InsP Plan" dataDxfId="24"/>
    <tableColumn id="39" xr3:uid="{00000000-0010-0000-0700-000027000000}" name="Specification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Flatwire_Picket" displayName="Flatwire_Picket" ref="FR2:GI28" totalsRowShown="0" headerRowDxfId="22" headerRowBorderDxfId="21" tableBorderDxfId="20" totalsRowBorderDxfId="19">
  <autoFilter ref="FR2:GI28" xr:uid="{00000000-0009-0000-0100-000009000000}"/>
  <tableColumns count="18">
    <tableColumn id="1" xr3:uid="{00000000-0010-0000-0800-000001000000}" name="Belt Type" dataDxfId="18"/>
    <tableColumn id="2" xr3:uid="{00000000-0010-0000-0800-000002000000}" name="A Setup Yellow Min" dataDxfId="17"/>
    <tableColumn id="3" xr3:uid="{00000000-0010-0000-0800-000003000000}" name="A Setup Green Min" dataDxfId="16"/>
    <tableColumn id="4" xr3:uid="{00000000-0010-0000-0800-000004000000}" name="A Setup Green Max" dataDxfId="15"/>
    <tableColumn id="5" xr3:uid="{00000000-0010-0000-0800-000005000000}" name="A Setup Yellow Max" dataDxfId="14"/>
    <tableColumn id="6" xr3:uid="{00000000-0010-0000-0800-000006000000}" name="A Run Yellow Min" dataDxfId="13"/>
    <tableColumn id="7" xr3:uid="{00000000-0010-0000-0800-000007000000}" name="A Run Green Min" dataDxfId="12"/>
    <tableColumn id="8" xr3:uid="{00000000-0010-0000-0800-000008000000}" name="A Run Green Max" dataDxfId="11"/>
    <tableColumn id="17" xr3:uid="{00000000-0010-0000-0800-000011000000}" name="C Setup Yellow Min" dataDxfId="10"/>
    <tableColumn id="18" xr3:uid="{00000000-0010-0000-0800-000012000000}" name="C Setup Green Min" dataDxfId="9"/>
    <tableColumn id="19" xr3:uid="{00000000-0010-0000-0800-000013000000}" name="C Setup Green Max" dataDxfId="8"/>
    <tableColumn id="20" xr3:uid="{00000000-0010-0000-0800-000014000000}" name="C Setup Yellow Max" dataDxfId="7"/>
    <tableColumn id="21" xr3:uid="{00000000-0010-0000-0800-000015000000}" name="C Run Yellow Min" dataDxfId="6"/>
    <tableColumn id="22" xr3:uid="{00000000-0010-0000-0800-000016000000}" name="C Run Green Min" dataDxfId="5"/>
    <tableColumn id="23" xr3:uid="{00000000-0010-0000-0800-000017000000}" name="C Run Green Max" dataDxfId="4"/>
    <tableColumn id="24" xr3:uid="{00000000-0010-0000-0800-000018000000}" name="C Run Yellow Max" dataDxfId="3"/>
    <tableColumn id="37" xr3:uid="{00000000-0010-0000-0800-000025000000}" name="Insp Plan" dataDxfId="2"/>
    <tableColumn id="38" xr3:uid="{00000000-0010-0000-0800-000026000000}" name="Specification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GK2:HI8" totalsRowShown="0" headerRowDxfId="0">
  <autoFilter ref="GK2:HI8" xr:uid="{00000000-0009-0000-0100-00000A000000}"/>
  <tableColumns count="25">
    <tableColumn id="1" xr3:uid="{00000000-0010-0000-0900-000001000000}" name="Belt Type"/>
    <tableColumn id="2" xr3:uid="{00000000-0010-0000-0900-000002000000}" name="Link To BH Setup Yellow Min"/>
    <tableColumn id="3" xr3:uid="{00000000-0010-0000-0900-000003000000}" name="Link To BH Setup Green Min"/>
    <tableColumn id="4" xr3:uid="{00000000-0010-0000-0900-000004000000}" name="Link To BH Setup Green Max"/>
    <tableColumn id="5" xr3:uid="{00000000-0010-0000-0900-000005000000}" name="Link To BH Setup Yellow Max"/>
    <tableColumn id="6" xr3:uid="{00000000-0010-0000-0900-000006000000}" name="Link To BH Run Yellow Min"/>
    <tableColumn id="7" xr3:uid="{00000000-0010-0000-0900-000007000000}" name="Link To BH Run Green Min"/>
    <tableColumn id="8" xr3:uid="{00000000-0010-0000-0900-000008000000}" name="Link To BH Run Green Max"/>
    <tableColumn id="9" xr3:uid="{00000000-0010-0000-0900-000009000000}" name="Link To BH Run Yellow Max"/>
    <tableColumn id="10" xr3:uid="{00000000-0010-0000-0900-00000A000000}" name="Weld Overflow Setup Yellow Min"/>
    <tableColumn id="11" xr3:uid="{00000000-0010-0000-0900-00000B000000}" name="Weld Overflow Setup Green Min"/>
    <tableColumn id="12" xr3:uid="{00000000-0010-0000-0900-00000C000000}" name="Weld Overflow Setup Green Max"/>
    <tableColumn id="13" xr3:uid="{00000000-0010-0000-0900-00000D000000}" name="Weld Overflow Setup Yellow Max"/>
    <tableColumn id="14" xr3:uid="{00000000-0010-0000-0900-00000E000000}" name="Weld Overflow Run Yellow Min"/>
    <tableColumn id="15" xr3:uid="{00000000-0010-0000-0900-00000F000000}" name="Weld Overflow Run Green Min"/>
    <tableColumn id="16" xr3:uid="{00000000-0010-0000-0900-000010000000}" name="Weld Overflow Run Green Max"/>
    <tableColumn id="17" xr3:uid="{00000000-0010-0000-0900-000011000000}" name="Weld Overflow Run Yellow Max"/>
    <tableColumn id="18" xr3:uid="{00000000-0010-0000-0900-000012000000}" name="Nom Width Setup Yellow Min"/>
    <tableColumn id="19" xr3:uid="{00000000-0010-0000-0900-000013000000}" name="Nom Width Setup Green Min"/>
    <tableColumn id="20" xr3:uid="{00000000-0010-0000-0900-000014000000}" name="Nom Width Setup Green Max"/>
    <tableColumn id="21" xr3:uid="{00000000-0010-0000-0900-000015000000}" name="Nom Width Setup Yellow Max"/>
    <tableColumn id="22" xr3:uid="{00000000-0010-0000-0900-000016000000}" name="Nom Width Run Yellow Min"/>
    <tableColumn id="23" xr3:uid="{00000000-0010-0000-0900-000017000000}" name="Nom Width Run Green Min"/>
    <tableColumn id="24" xr3:uid="{00000000-0010-0000-0900-000018000000}" name="Nom Width Run Green Max"/>
    <tableColumn id="25" xr3:uid="{00000000-0010-0000-0900-000019000000}" name="Nom Width Run Yellow M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abSelected="1" workbookViewId="0">
      <selection activeCell="L2" sqref="L2"/>
    </sheetView>
  </sheetViews>
  <sheetFormatPr defaultColWidth="9" defaultRowHeight="14.25" x14ac:dyDescent="0.2"/>
  <cols>
    <col min="1" max="1" width="9" style="45"/>
    <col min="2" max="2" width="10.5" style="45" bestFit="1" customWidth="1"/>
    <col min="3" max="3" width="8" style="45" bestFit="1" customWidth="1"/>
    <col min="4" max="16384" width="9" style="45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Connect">
          <controlPr defaultSize="0" autoLine="0" r:id="rId5">
            <anchor moveWithCells="1">
              <from>
                <xdr:col>1</xdr:col>
                <xdr:colOff>228600</xdr:colOff>
                <xdr:row>5</xdr:row>
                <xdr:rowOff>123825</xdr:rowOff>
              </from>
              <to>
                <xdr:col>3</xdr:col>
                <xdr:colOff>304800</xdr:colOff>
                <xdr:row>9</xdr:row>
                <xdr:rowOff>57150</xdr:rowOff>
              </to>
            </anchor>
          </controlPr>
        </control>
      </mc:Choice>
      <mc:Fallback>
        <control shapeId="4102" r:id="rId4" name="Connect"/>
      </mc:Fallback>
    </mc:AlternateContent>
    <mc:AlternateContent xmlns:mc="http://schemas.openxmlformats.org/markup-compatibility/2006">
      <mc:Choice Requires="x14">
        <control shapeId="4103" r:id="rId6" name="Lock_Prorgram">
          <controlPr defaultSize="0" autoLine="0" r:id="rId7">
            <anchor moveWithCells="1">
              <from>
                <xdr:col>1</xdr:col>
                <xdr:colOff>38100</xdr:colOff>
                <xdr:row>9</xdr:row>
                <xdr:rowOff>123825</xdr:rowOff>
              </from>
              <to>
                <xdr:col>2</xdr:col>
                <xdr:colOff>66675</xdr:colOff>
                <xdr:row>12</xdr:row>
                <xdr:rowOff>57150</xdr:rowOff>
              </to>
            </anchor>
          </controlPr>
        </control>
      </mc:Choice>
      <mc:Fallback>
        <control shapeId="4103" r:id="rId6" name="Lock_Prorgram"/>
      </mc:Fallback>
    </mc:AlternateContent>
    <mc:AlternateContent xmlns:mc="http://schemas.openxmlformats.org/markup-compatibility/2006">
      <mc:Choice Requires="x14">
        <control shapeId="4104" r:id="rId8" name="Unlock_Program">
          <controlPr defaultSize="0" autoLine="0" r:id="rId9">
            <anchor moveWithCells="1">
              <from>
                <xdr:col>2</xdr:col>
                <xdr:colOff>171450</xdr:colOff>
                <xdr:row>9</xdr:row>
                <xdr:rowOff>123825</xdr:rowOff>
              </from>
              <to>
                <xdr:col>3</xdr:col>
                <xdr:colOff>390525</xdr:colOff>
                <xdr:row>12</xdr:row>
                <xdr:rowOff>57150</xdr:rowOff>
              </to>
            </anchor>
          </controlPr>
        </control>
      </mc:Choice>
      <mc:Fallback>
        <control shapeId="4104" r:id="rId8" name="Unlock_Pro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CHK327"/>
  <sheetViews>
    <sheetView topLeftCell="A13" zoomScale="115" zoomScaleNormal="115" workbookViewId="0">
      <selection activeCell="B2" sqref="B2"/>
    </sheetView>
  </sheetViews>
  <sheetFormatPr defaultRowHeight="14.25" x14ac:dyDescent="0.2"/>
  <cols>
    <col min="1" max="1" width="12" bestFit="1" customWidth="1"/>
    <col min="2" max="2" width="18" bestFit="1" customWidth="1"/>
    <col min="3" max="3" width="31.375" customWidth="1"/>
    <col min="4" max="4" width="5.625" customWidth="1"/>
    <col min="5" max="5" width="20.75" customWidth="1"/>
    <col min="6" max="6" width="39.5" customWidth="1"/>
    <col min="7" max="7" width="3.5" customWidth="1"/>
    <col min="8" max="8" width="5.5" customWidth="1"/>
    <col min="9" max="9" width="25.625" bestFit="1" customWidth="1"/>
    <col min="10" max="10" width="27.875" bestFit="1" customWidth="1"/>
    <col min="11" max="11" width="7" bestFit="1" customWidth="1"/>
    <col min="12" max="12" width="8.75" bestFit="1" customWidth="1"/>
    <col min="13" max="15" width="8.25" bestFit="1" customWidth="1"/>
    <col min="16" max="16" width="7.625" bestFit="1" customWidth="1"/>
    <col min="17" max="17" width="8.25" bestFit="1" customWidth="1"/>
    <col min="18" max="18" width="8.625" bestFit="1" customWidth="1"/>
    <col min="19" max="19" width="88.5" customWidth="1"/>
  </cols>
  <sheetData>
    <row r="1" spans="1:54 2247:2247" x14ac:dyDescent="0.2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54 2247:2247" x14ac:dyDescent="0.2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</row>
    <row r="3" spans="1:54 2247:2247" x14ac:dyDescent="0.2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CHK3">
        <v>1</v>
      </c>
    </row>
    <row r="4" spans="1:54 2247:2247" x14ac:dyDescent="0.2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</row>
    <row r="5" spans="1:54 2247:2247" ht="15" x14ac:dyDescent="0.25">
      <c r="A5" s="108" t="s">
        <v>28</v>
      </c>
      <c r="B5" s="108"/>
      <c r="C5" s="108"/>
      <c r="D5" s="45"/>
      <c r="E5" s="109" t="s">
        <v>152</v>
      </c>
      <c r="F5" s="109"/>
      <c r="G5" s="45"/>
      <c r="H5" s="110" t="s">
        <v>456</v>
      </c>
      <c r="I5" s="106" t="s">
        <v>368</v>
      </c>
      <c r="J5" s="106"/>
      <c r="K5" s="106"/>
      <c r="L5" s="106"/>
      <c r="M5" s="106"/>
      <c r="N5" s="106"/>
      <c r="O5" s="106"/>
      <c r="P5" s="106"/>
      <c r="Q5" s="106"/>
      <c r="R5" s="106"/>
      <c r="S5" s="107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</row>
    <row r="6" spans="1:54 2247:2247" ht="111.75" x14ac:dyDescent="0.2">
      <c r="A6" s="1" t="s">
        <v>12</v>
      </c>
      <c r="B6" s="1" t="s">
        <v>12</v>
      </c>
      <c r="C6" s="15">
        <v>200</v>
      </c>
      <c r="D6" s="45"/>
      <c r="E6" s="116" t="s">
        <v>151</v>
      </c>
      <c r="F6" s="122" t="s">
        <v>641</v>
      </c>
      <c r="G6" s="45"/>
      <c r="H6" s="111"/>
      <c r="I6" s="18" t="s">
        <v>147</v>
      </c>
      <c r="J6" s="2" t="s">
        <v>171</v>
      </c>
      <c r="K6" s="5" t="s">
        <v>16</v>
      </c>
      <c r="L6" s="5" t="s">
        <v>169</v>
      </c>
      <c r="M6" s="5" t="s">
        <v>162</v>
      </c>
      <c r="N6" s="5" t="s">
        <v>279</v>
      </c>
      <c r="O6" s="68" t="s">
        <v>252</v>
      </c>
      <c r="P6" s="68" t="s">
        <v>253</v>
      </c>
      <c r="Q6" s="68" t="s">
        <v>280</v>
      </c>
      <c r="R6" s="68" t="s">
        <v>157</v>
      </c>
      <c r="S6" s="13" t="s">
        <v>170</v>
      </c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</row>
    <row r="7" spans="1:54 2247:2247" x14ac:dyDescent="0.2">
      <c r="A7" s="1" t="s">
        <v>3</v>
      </c>
      <c r="B7" s="1" t="s">
        <v>2</v>
      </c>
      <c r="C7" s="95" t="s">
        <v>642</v>
      </c>
      <c r="D7" s="45"/>
      <c r="E7" s="117"/>
      <c r="F7" s="122"/>
      <c r="G7" s="45"/>
      <c r="H7" s="111"/>
      <c r="I7" s="11" t="s">
        <v>254</v>
      </c>
      <c r="J7" s="1" t="s">
        <v>461</v>
      </c>
      <c r="K7" s="26">
        <f>Data1*1</f>
        <v>0.23499999999999999</v>
      </c>
      <c r="L7" s="2" t="e">
        <f>VLOOKUP(DwgNum,Spiral_Dims_Table[],HLOOKUP(CONCATENATE(I7,"_",MeshGauge),Spiral_Dims_Table[#All],2,FALSE),FALSE)</f>
        <v>#N/A</v>
      </c>
      <c r="M7" s="2" t="e">
        <f>$K7-L7</f>
        <v>#N/A</v>
      </c>
      <c r="N7" s="2">
        <f>VLOOKUP($I7,Spiral_Tolerance_Table[],HLOOKUP(N$6,Spiral_Tolerance_Table[#All],2,FALSE),FALSE)</f>
        <v>-0.01</v>
      </c>
      <c r="O7" s="2">
        <f>VLOOKUP($I7,Spiral_Tolerance_Table[],HLOOKUP(O$6,Spiral_Tolerance_Table[#All],2,FALSE),FALSE)</f>
        <v>-6.8999999999999999E-3</v>
      </c>
      <c r="P7" s="2">
        <f>VLOOKUP($I7,Spiral_Tolerance_Table[],HLOOKUP(P$6,Spiral_Tolerance_Table[#All],2,FALSE),FALSE)</f>
        <v>6.8999999999999999E-3</v>
      </c>
      <c r="Q7" s="2">
        <f>VLOOKUP($I7,Spiral_Tolerance_Table[],HLOOKUP(Q$6,Spiral_Tolerance_Table[#All],2,FALSE),FALSE)</f>
        <v>0.01</v>
      </c>
      <c r="R7" s="34" t="e">
        <f>IF(M7&gt;=O7,IF(M7&lt;=P7,"G",IF(M7&gt;Q7,"RH","YH")),IF(M7&lt;N7,"RL","YL"))</f>
        <v>#N/A</v>
      </c>
      <c r="S7" s="66" t="e">
        <f>IF(R7="RL",CONCATENATE(" The ",J7," is Below the Minimum Tolerance (Target: ",L7," inches)?",""),IF(R7="RH",CONCATENATE(" The ",J7," is Above the Maximum Tolerance (Target: ",L7," inches)?",""),""))</f>
        <v>#N/A</v>
      </c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</row>
    <row r="8" spans="1:54 2247:2247" x14ac:dyDescent="0.2">
      <c r="A8" s="1" t="s">
        <v>17</v>
      </c>
      <c r="B8" s="3" t="s">
        <v>15</v>
      </c>
      <c r="C8" s="16" t="s">
        <v>643</v>
      </c>
      <c r="D8" s="45"/>
      <c r="E8" s="117"/>
      <c r="F8" s="122"/>
      <c r="G8" s="45"/>
      <c r="H8" s="111"/>
      <c r="I8" s="11" t="s">
        <v>164</v>
      </c>
      <c r="J8" s="1" t="s">
        <v>176</v>
      </c>
      <c r="K8" s="26">
        <f>Data2*1</f>
        <v>0.435</v>
      </c>
      <c r="L8" s="2" t="e">
        <f>VLOOKUP(CONCATENATE(FirstCount,",",DwgNum),Spiral_Length_Table[],HLOOKUP(CONCATENATE(I8,"_",MeshGauge),Spiral_Length_Table[#All],2,FALSE),FALSE)</f>
        <v>#N/A</v>
      </c>
      <c r="M8" s="2" t="e">
        <f t="shared" ref="M8:M24" si="0">$K8-L8</f>
        <v>#N/A</v>
      </c>
      <c r="N8" s="2">
        <f>VLOOKUP($I8,Spiral_Tolerance_Table[],HLOOKUP(N$6,Spiral_Tolerance_Table[#All],2,FALSE),FALSE)</f>
        <v>-0.01</v>
      </c>
      <c r="O8" s="2">
        <f>VLOOKUP($I8,Spiral_Tolerance_Table[],HLOOKUP(O$6,Spiral_Tolerance_Table[#All],2,FALSE),FALSE)</f>
        <v>-6.8999999999999999E-3</v>
      </c>
      <c r="P8" s="2">
        <f>VLOOKUP($I8,Spiral_Tolerance_Table[],HLOOKUP(P$6,Spiral_Tolerance_Table[#All],2,FALSE),FALSE)</f>
        <v>6.8999999999999999E-3</v>
      </c>
      <c r="Q8" s="2">
        <f>VLOOKUP($I8,Spiral_Tolerance_Table[],HLOOKUP(Q$6,Spiral_Tolerance_Table[#All],2,FALSE),FALSE)</f>
        <v>0.01</v>
      </c>
      <c r="R8" s="34" t="e">
        <f>IF(M8&gt;=O8,IF(M8&lt;=P8,"G",IF(M8&gt;Q8,"RH","YH")),IF(M8&lt;N8,"RL","YL"))</f>
        <v>#N/A</v>
      </c>
      <c r="S8" s="66" t="e">
        <f t="shared" ref="S8:S19" si="1">IF(R8="RL",CONCATENATE(" The ",J8," is Below the Minimum Tolerance (Target: ",L8," inches)?",""),IF(R8="RH",CONCATENATE(" The ",J8," is Above the Maximum Tolerance (Target: ",L8," inches)?",""),""))</f>
        <v>#N/A</v>
      </c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</row>
    <row r="9" spans="1:54 2247:2247" x14ac:dyDescent="0.2">
      <c r="A9" s="1" t="s">
        <v>18</v>
      </c>
      <c r="B9" s="1" t="s">
        <v>1</v>
      </c>
      <c r="C9" s="16">
        <v>0</v>
      </c>
      <c r="D9" s="45" t="s">
        <v>417</v>
      </c>
      <c r="E9" s="117"/>
      <c r="F9" s="122"/>
      <c r="G9" s="45"/>
      <c r="H9" s="111"/>
      <c r="I9" s="11" t="s">
        <v>255</v>
      </c>
      <c r="J9" s="1" t="s">
        <v>466</v>
      </c>
      <c r="K9" s="26">
        <f>Data3*1</f>
        <v>147</v>
      </c>
      <c r="L9" s="2" t="e">
        <f>VLOOKUP(CONCATENATE(FirstCount,",",DwgNum),Spiral_Length_Table[],HLOOKUP(CONCATENATE(I9,"_",MeshGauge),Spiral_Length_Table[#All],2,FALSE),FALSE)</f>
        <v>#N/A</v>
      </c>
      <c r="M9" s="2" t="e">
        <f t="shared" si="0"/>
        <v>#N/A</v>
      </c>
      <c r="N9" s="2">
        <f>VLOOKUP($I9,Spiral_Tolerance_Table[],HLOOKUP(N$6,Spiral_Tolerance_Table[#All],2,FALSE),FALSE)</f>
        <v>-0.01</v>
      </c>
      <c r="O9" s="2">
        <f>VLOOKUP($I9,Spiral_Tolerance_Table[],HLOOKUP(O$6,Spiral_Tolerance_Table[#All],2,FALSE),FALSE)</f>
        <v>-6.8999999999999999E-3</v>
      </c>
      <c r="P9" s="2">
        <f>VLOOKUP($I9,Spiral_Tolerance_Table[],HLOOKUP(P$6,Spiral_Tolerance_Table[#All],2,FALSE),FALSE)</f>
        <v>6.8999999999999999E-3</v>
      </c>
      <c r="Q9" s="2">
        <f>VLOOKUP($I9,Spiral_Tolerance_Table[],HLOOKUP(Q$6,Spiral_Tolerance_Table[#All],2,FALSE),FALSE)</f>
        <v>0.01</v>
      </c>
      <c r="R9" s="34" t="e">
        <f t="shared" ref="R9:R24" si="2">IF(K9&gt;0,IF(M9&gt;=O9,IF(M9&lt;=P9,"G",IF(M9&gt;Q9,"RH","YH")),IF(M9&lt;N9,"RL","YL")),"G")</f>
        <v>#N/A</v>
      </c>
      <c r="S9" s="66" t="e">
        <f t="shared" si="1"/>
        <v>#N/A</v>
      </c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</row>
    <row r="10" spans="1:54 2247:2247" x14ac:dyDescent="0.2">
      <c r="A10" s="1" t="s">
        <v>19</v>
      </c>
      <c r="B10" s="1" t="s">
        <v>4</v>
      </c>
      <c r="C10" s="44">
        <f ca="1">TODAY()</f>
        <v>44370</v>
      </c>
      <c r="D10" s="45"/>
      <c r="E10" s="117"/>
      <c r="F10" s="122"/>
      <c r="G10" s="45"/>
      <c r="H10" s="111"/>
      <c r="I10" s="11" t="s">
        <v>256</v>
      </c>
      <c r="J10" s="1" t="s">
        <v>177</v>
      </c>
      <c r="K10" s="26">
        <f>Data4*1</f>
        <v>0</v>
      </c>
      <c r="L10" s="2" t="e">
        <f>VLOOKUP(CONCATENATE(FirstCount,",",DwgNum),Spiral_Length_Table[],HLOOKUP(CONCATENATE(I10,"_",MeshGauge),Spiral_Length_Table[#All],2,FALSE),FALSE)</f>
        <v>#N/A</v>
      </c>
      <c r="M10" s="2" t="e">
        <f t="shared" si="0"/>
        <v>#N/A</v>
      </c>
      <c r="N10" s="2">
        <f>VLOOKUP($I10,Spiral_Tolerance_Table[],HLOOKUP(N$6,Spiral_Tolerance_Table[#All],2,FALSE),FALSE)</f>
        <v>-0.01</v>
      </c>
      <c r="O10" s="2">
        <f>VLOOKUP($I10,Spiral_Tolerance_Table[],HLOOKUP(O$6,Spiral_Tolerance_Table[#All],2,FALSE),FALSE)</f>
        <v>-6.8999999999999999E-3</v>
      </c>
      <c r="P10" s="2">
        <f>VLOOKUP($I10,Spiral_Tolerance_Table[],HLOOKUP(P$6,Spiral_Tolerance_Table[#All],2,FALSE),FALSE)</f>
        <v>6.8999999999999999E-3</v>
      </c>
      <c r="Q10" s="2">
        <f>VLOOKUP($I10,Spiral_Tolerance_Table[],HLOOKUP(Q$6,Spiral_Tolerance_Table[#All],2,FALSE),FALSE)</f>
        <v>0.01</v>
      </c>
      <c r="R10" s="34" t="str">
        <f t="shared" si="2"/>
        <v>G</v>
      </c>
      <c r="S10" s="66" t="str">
        <f t="shared" si="1"/>
        <v/>
      </c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</row>
    <row r="11" spans="1:54 2247:2247" ht="14.25" customHeight="1" x14ac:dyDescent="0.2">
      <c r="A11" s="3" t="s">
        <v>75</v>
      </c>
      <c r="B11" s="3" t="s">
        <v>300</v>
      </c>
      <c r="C11" s="16" t="str">
        <f ca="1">TEXT(NOW(),"hh:mm:ss AM/PM")</f>
        <v>05:16:29 PM</v>
      </c>
      <c r="D11" s="45"/>
      <c r="E11" s="118"/>
      <c r="F11" s="122"/>
      <c r="G11" s="45"/>
      <c r="H11" s="111"/>
      <c r="I11" s="11" t="s">
        <v>257</v>
      </c>
      <c r="J11" s="1" t="s">
        <v>462</v>
      </c>
      <c r="K11" s="26">
        <f>Data5*1</f>
        <v>0</v>
      </c>
      <c r="L11" s="2" t="e">
        <f>VLOOKUP(DwgNum,Spiral_Dims_Table[],HLOOKUP(CONCATENATE(I11,"_",MeshGauge),Spiral_Dims_Table[#All],2,FALSE),FALSE)</f>
        <v>#N/A</v>
      </c>
      <c r="M11" s="2" t="e">
        <f t="shared" si="0"/>
        <v>#N/A</v>
      </c>
      <c r="N11" s="2">
        <f>VLOOKUP($I11,Spiral_Tolerance_Table[],HLOOKUP(N$6,Spiral_Tolerance_Table[#All],2,FALSE),FALSE)</f>
        <v>-0.01</v>
      </c>
      <c r="O11" s="2">
        <f>VLOOKUP($I11,Spiral_Tolerance_Table[],HLOOKUP(O$6,Spiral_Tolerance_Table[#All],2,FALSE),FALSE)</f>
        <v>-6.8999999999999999E-3</v>
      </c>
      <c r="P11" s="2">
        <f>VLOOKUP($I11,Spiral_Tolerance_Table[],HLOOKUP(P$6,Spiral_Tolerance_Table[#All],2,FALSE),FALSE)</f>
        <v>6.8999999999999999E-3</v>
      </c>
      <c r="Q11" s="2">
        <f>VLOOKUP($I11,Spiral_Tolerance_Table[],HLOOKUP(Q$6,Spiral_Tolerance_Table[#All],2,FALSE),FALSE)</f>
        <v>0.01</v>
      </c>
      <c r="R11" s="34" t="e">
        <f>IF(M11&gt;=O11,IF(M11&lt;=P11,"G",IF(M11&gt;Q11,"RH","YH")),IF(M11&lt;N11,"RL","YL"))</f>
        <v>#N/A</v>
      </c>
      <c r="S11" s="66" t="e">
        <f t="shared" si="1"/>
        <v>#N/A</v>
      </c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</row>
    <row r="12" spans="1:54 2247:2247" x14ac:dyDescent="0.2">
      <c r="A12" s="3" t="s">
        <v>71</v>
      </c>
      <c r="B12" s="3" t="s">
        <v>301</v>
      </c>
      <c r="C12" s="16">
        <v>14114</v>
      </c>
      <c r="D12" s="45" t="s">
        <v>458</v>
      </c>
      <c r="E12" s="61" t="s">
        <v>155</v>
      </c>
      <c r="F12" s="62"/>
      <c r="G12" s="45"/>
      <c r="H12" s="111"/>
      <c r="I12" s="11" t="s">
        <v>258</v>
      </c>
      <c r="J12" s="1" t="s">
        <v>463</v>
      </c>
      <c r="K12" s="26">
        <f>Data6*1</f>
        <v>0</v>
      </c>
      <c r="L12" s="2" t="e">
        <f>VLOOKUP(DwgNum,Spiral_Dims_Table[],HLOOKUP(CONCATENATE(I12,"_",MeshGauge),Spiral_Dims_Table[#All],2,FALSE),FALSE)</f>
        <v>#N/A</v>
      </c>
      <c r="M12" s="2" t="e">
        <f t="shared" si="0"/>
        <v>#N/A</v>
      </c>
      <c r="N12" s="2">
        <f>VLOOKUP($I12,Spiral_Tolerance_Table[],HLOOKUP(N$6,Spiral_Tolerance_Table[#All],2,FALSE),FALSE)</f>
        <v>-1.4999999999999999E-2</v>
      </c>
      <c r="O12" s="2">
        <f>VLOOKUP($I12,Spiral_Tolerance_Table[],HLOOKUP(O$6,Spiral_Tolerance_Table[#All],2,FALSE),FALSE)</f>
        <v>-1.1900000000000001E-2</v>
      </c>
      <c r="P12" s="2">
        <f>VLOOKUP($I12,Spiral_Tolerance_Table[],HLOOKUP(P$6,Spiral_Tolerance_Table[#All],2,FALSE),FALSE)</f>
        <v>1.1900000000000001E-2</v>
      </c>
      <c r="Q12" s="2">
        <f>VLOOKUP($I12,Spiral_Tolerance_Table[],HLOOKUP(Q$6,Spiral_Tolerance_Table[#All],2,FALSE),FALSE)</f>
        <v>1.4999999999999999E-2</v>
      </c>
      <c r="R12" s="34" t="e">
        <f>IF(M12&gt;=O12,IF(M12&lt;=P12,"G",IF(M12&gt;Q12,"RH","YH")),IF(M12&lt;N12,"RL","YL"))</f>
        <v>#N/A</v>
      </c>
      <c r="S12" s="66" t="e">
        <f t="shared" si="1"/>
        <v>#N/A</v>
      </c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</row>
    <row r="13" spans="1:54 2247:2247" x14ac:dyDescent="0.2">
      <c r="A13" s="1" t="s">
        <v>20</v>
      </c>
      <c r="B13" s="1" t="s">
        <v>5</v>
      </c>
      <c r="C13" s="16" t="s">
        <v>13</v>
      </c>
      <c r="D13" s="45"/>
      <c r="E13" s="50" t="s">
        <v>153</v>
      </c>
      <c r="F13" s="51" t="str">
        <f>MID(MeshDesc,2,2)</f>
        <v/>
      </c>
      <c r="G13" s="45"/>
      <c r="H13" s="111"/>
      <c r="I13" s="11" t="s">
        <v>131</v>
      </c>
      <c r="J13" s="1" t="s">
        <v>460</v>
      </c>
      <c r="K13" s="26">
        <f>Data7*1</f>
        <v>0</v>
      </c>
      <c r="L13" s="2" t="e">
        <f>VLOOKUP(DwgNum,Spiral_Dims_Table[],HLOOKUP(CONCATENATE(I13,"_",MeshGauge),Spiral_Dims_Table[#All],2,FALSE),FALSE)</f>
        <v>#N/A</v>
      </c>
      <c r="M13" s="2" t="e">
        <f t="shared" si="0"/>
        <v>#N/A</v>
      </c>
      <c r="N13" s="2">
        <f>VLOOKUP($I13,Spiral_Tolerance_Table[],HLOOKUP(N$6,Spiral_Tolerance_Table[#All],2,FALSE),FALSE)</f>
        <v>-0.01</v>
      </c>
      <c r="O13" s="2">
        <f>VLOOKUP($I13,Spiral_Tolerance_Table[],HLOOKUP(O$6,Spiral_Tolerance_Table[#All],2,FALSE),FALSE)</f>
        <v>-6.8999999999999999E-3</v>
      </c>
      <c r="P13" s="2">
        <f>VLOOKUP($I13,Spiral_Tolerance_Table[],HLOOKUP(P$6,Spiral_Tolerance_Table[#All],2,FALSE),FALSE)</f>
        <v>6.8999999999999999E-3</v>
      </c>
      <c r="Q13" s="2">
        <f>VLOOKUP($I13,Spiral_Tolerance_Table[],HLOOKUP(Q$6,Spiral_Tolerance_Table[#All],2,FALSE),FALSE)</f>
        <v>0.01</v>
      </c>
      <c r="R13" s="34" t="str">
        <f t="shared" si="2"/>
        <v>G</v>
      </c>
      <c r="S13" s="66" t="str">
        <f t="shared" si="1"/>
        <v/>
      </c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</row>
    <row r="14" spans="1:54 2247:2247" x14ac:dyDescent="0.2">
      <c r="A14" s="1" t="s">
        <v>21</v>
      </c>
      <c r="B14" s="1" t="s">
        <v>6</v>
      </c>
      <c r="C14" s="16" t="s">
        <v>182</v>
      </c>
      <c r="D14" s="45"/>
      <c r="E14" s="50" t="s">
        <v>154</v>
      </c>
      <c r="F14" s="51" t="str">
        <f>RIGHT(MeshDesc,2)</f>
        <v/>
      </c>
      <c r="G14" s="45"/>
      <c r="H14" s="111"/>
      <c r="I14" s="11" t="s">
        <v>259</v>
      </c>
      <c r="J14" s="1" t="s">
        <v>504</v>
      </c>
      <c r="K14" s="26">
        <f>Data8*1</f>
        <v>0</v>
      </c>
      <c r="L14" s="2" t="e">
        <f>VLOOKUP(CONCATENATE(FirstCount,",",DwgNum),Spiral_Length_Table[],HLOOKUP(CONCATENATE(I14,"_",MeshGauge),Spiral_Length_Table[#All],2,FALSE),FALSE)</f>
        <v>#N/A</v>
      </c>
      <c r="M14" s="2" t="e">
        <f t="shared" si="0"/>
        <v>#N/A</v>
      </c>
      <c r="N14" s="2">
        <f>VLOOKUP($I14,Spiral_Tolerance_Table[],HLOOKUP(N$6,Spiral_Tolerance_Table[#All],2,FALSE),FALSE)</f>
        <v>-0.01</v>
      </c>
      <c r="O14" s="2">
        <f>VLOOKUP($I14,Spiral_Tolerance_Table[],HLOOKUP(O$6,Spiral_Tolerance_Table[#All],2,FALSE),FALSE)</f>
        <v>-6.8999999999999999E-3</v>
      </c>
      <c r="P14" s="2">
        <f>VLOOKUP($I14,Spiral_Tolerance_Table[],HLOOKUP(P$6,Spiral_Tolerance_Table[#All],2,FALSE),FALSE)</f>
        <v>6.8999999999999999E-3</v>
      </c>
      <c r="Q14" s="2">
        <f>VLOOKUP($I14,Spiral_Tolerance_Table[],HLOOKUP(Q$6,Spiral_Tolerance_Table[#All],2,FALSE),FALSE)</f>
        <v>0.01</v>
      </c>
      <c r="R14" s="34" t="str">
        <f t="shared" si="2"/>
        <v>G</v>
      </c>
      <c r="S14" s="66" t="str">
        <f t="shared" si="1"/>
        <v/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</row>
    <row r="15" spans="1:54 2247:2247" x14ac:dyDescent="0.2">
      <c r="A15" s="3" t="s">
        <v>74</v>
      </c>
      <c r="B15" s="3" t="s">
        <v>356</v>
      </c>
      <c r="C15" s="16" t="s">
        <v>627</v>
      </c>
      <c r="D15" s="45"/>
      <c r="E15" s="60" t="s">
        <v>156</v>
      </c>
      <c r="F15" s="63"/>
      <c r="G15" s="45"/>
      <c r="H15" s="111"/>
      <c r="I15" s="11" t="s">
        <v>146</v>
      </c>
      <c r="J15" s="1" t="s">
        <v>467</v>
      </c>
      <c r="K15" s="26">
        <f>Data9*1</f>
        <v>0</v>
      </c>
      <c r="L15" s="2" t="e">
        <f>VLOOKUP(CONCATENATE(FirstCount,",",DwgNum),Spiral_Length_Table[],HLOOKUP(CONCATENATE(I15,"_",MeshGauge),Spiral_Length_Table[#All],2,FALSE),FALSE)</f>
        <v>#N/A</v>
      </c>
      <c r="M15" s="2" t="e">
        <f t="shared" si="0"/>
        <v>#N/A</v>
      </c>
      <c r="N15" s="2">
        <f>VLOOKUP($I15,Spiral_Tolerance_Table[],HLOOKUP(N$6,Spiral_Tolerance_Table[#All],2,FALSE),FALSE)</f>
        <v>-0.01</v>
      </c>
      <c r="O15" s="2">
        <f>VLOOKUP($I15,Spiral_Tolerance_Table[],HLOOKUP(O$6,Spiral_Tolerance_Table[#All],2,FALSE),FALSE)</f>
        <v>-6.8999999999999999E-3</v>
      </c>
      <c r="P15" s="2">
        <f>VLOOKUP($I15,Spiral_Tolerance_Table[],HLOOKUP(P$6,Spiral_Tolerance_Table[#All],2,FALSE),FALSE)</f>
        <v>6.8999999999999999E-3</v>
      </c>
      <c r="Q15" s="2">
        <f>VLOOKUP($I15,Spiral_Tolerance_Table[],HLOOKUP(Q$6,Spiral_Tolerance_Table[#All],2,FALSE),FALSE)</f>
        <v>0.01</v>
      </c>
      <c r="R15" s="34" t="e">
        <f>IF(M15&gt;=O15,IF(M15&lt;=P15,"G",IF(M15&gt;Q15,"RH","YH")),IF(M15&lt;N15,"RL","YL"))</f>
        <v>#N/A</v>
      </c>
      <c r="S15" s="66" t="e">
        <f t="shared" si="1"/>
        <v>#N/A</v>
      </c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</row>
    <row r="16" spans="1:54 2247:2247" x14ac:dyDescent="0.2">
      <c r="A16" s="1" t="s">
        <v>22</v>
      </c>
      <c r="B16" s="1" t="s">
        <v>7</v>
      </c>
      <c r="C16" s="16" t="s">
        <v>14</v>
      </c>
      <c r="D16" s="45" t="s">
        <v>458</v>
      </c>
      <c r="E16" s="50" t="s">
        <v>278</v>
      </c>
      <c r="F16" s="51" t="str">
        <f>VLOOKUP(LPartNum,Spiral_Drawing_Lookup_Table[],2+IF(F19="Outside Spiral",1,0),FALSE)</f>
        <v>23-2001</v>
      </c>
      <c r="G16" s="45"/>
      <c r="H16" s="111"/>
      <c r="I16" s="11" t="s">
        <v>158</v>
      </c>
      <c r="J16" s="1" t="s">
        <v>175</v>
      </c>
      <c r="K16" s="26">
        <f>Data10*1</f>
        <v>0</v>
      </c>
      <c r="L16" s="2" t="e">
        <f>VLOOKUP(CONCATENATE(FirstCount,",",DwgNum),Spiral_Length_Table[],HLOOKUP(CONCATENATE(I16,"_",MeshGauge),Spiral_Length_Table[#All],2,FALSE),FALSE)</f>
        <v>#N/A</v>
      </c>
      <c r="M16" s="2" t="e">
        <f t="shared" si="0"/>
        <v>#N/A</v>
      </c>
      <c r="N16" s="2">
        <f>VLOOKUP($I16,Spiral_Tolerance_Table[],HLOOKUP(N$6,Spiral_Tolerance_Table[#All],2,FALSE),FALSE)</f>
        <v>-0.01</v>
      </c>
      <c r="O16" s="2">
        <f>VLOOKUP($I16,Spiral_Tolerance_Table[],HLOOKUP(O$6,Spiral_Tolerance_Table[#All],2,FALSE),FALSE)</f>
        <v>-6.8999999999999999E-3</v>
      </c>
      <c r="P16" s="2">
        <f>VLOOKUP($I16,Spiral_Tolerance_Table[],HLOOKUP(P$6,Spiral_Tolerance_Table[#All],2,FALSE),FALSE)</f>
        <v>6.8999999999999999E-3</v>
      </c>
      <c r="Q16" s="2">
        <f>VLOOKUP($I16,Spiral_Tolerance_Table[],HLOOKUP(Q$6,Spiral_Tolerance_Table[#All],2,FALSE),FALSE)</f>
        <v>0.01</v>
      </c>
      <c r="R16" s="34" t="str">
        <f t="shared" si="2"/>
        <v>G</v>
      </c>
      <c r="S16" s="66" t="str">
        <f t="shared" si="1"/>
        <v/>
      </c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</row>
    <row r="17" spans="1:54" x14ac:dyDescent="0.2">
      <c r="A17" s="1" t="s">
        <v>23</v>
      </c>
      <c r="B17" s="1" t="s">
        <v>16</v>
      </c>
      <c r="C17" s="16"/>
      <c r="D17" s="45"/>
      <c r="E17" s="50" t="s">
        <v>293</v>
      </c>
      <c r="F17" s="51">
        <f>IF(Spirals_Per_Pitch=1,Belt_Width+VLOOKUP(LPartNum,Spiral_Drawing_Lookup_Table[],6,FALSE),IF(F19="Inside Spiral",Center_Link_Location+VLOOKUP(LPartNum,Spiral_Drawing_Lookup_Table[],6,FALSE),Belt_Width+VLOOKUP(LPartNum,Spiral_Drawing_Lookup_Table[],7,FALSE)-Center_Link_Location))</f>
        <v>-2.75</v>
      </c>
      <c r="G17" s="45"/>
      <c r="H17" s="111"/>
      <c r="I17" s="11" t="s">
        <v>132</v>
      </c>
      <c r="J17" s="1" t="s">
        <v>464</v>
      </c>
      <c r="K17" s="26">
        <f>Data11*1</f>
        <v>0</v>
      </c>
      <c r="L17" s="2" t="e">
        <f>VLOOKUP(DwgNum,Spiral_Dims_Table[],HLOOKUP(CONCATENATE(I17,"_",MeshGauge),Spiral_Dims_Table[#All],2,FALSE),FALSE)</f>
        <v>#N/A</v>
      </c>
      <c r="M17" s="2" t="e">
        <f t="shared" si="0"/>
        <v>#N/A</v>
      </c>
      <c r="N17" s="2">
        <f>VLOOKUP($I17,Spiral_Tolerance_Table[],HLOOKUP(N$6,Spiral_Tolerance_Table[#All],2,FALSE),FALSE)</f>
        <v>-0.01</v>
      </c>
      <c r="O17" s="2">
        <f>VLOOKUP($I17,Spiral_Tolerance_Table[],HLOOKUP(O$6,Spiral_Tolerance_Table[#All],2,FALSE),FALSE)</f>
        <v>-6.8999999999999999E-3</v>
      </c>
      <c r="P17" s="2">
        <f>VLOOKUP($I17,Spiral_Tolerance_Table[],HLOOKUP(P$6,Spiral_Tolerance_Table[#All],2,FALSE),FALSE)</f>
        <v>6.8999999999999999E-3</v>
      </c>
      <c r="Q17" s="2">
        <f>VLOOKUP($I17,Spiral_Tolerance_Table[],HLOOKUP(Q$6,Spiral_Tolerance_Table[#All],2,FALSE),FALSE)</f>
        <v>0.01</v>
      </c>
      <c r="R17" s="34" t="e">
        <f>IF(M17&gt;=O17,IF(M17&lt;=P17,"G",IF(M17&gt;Q17,"RH","YH")),IF(M17&lt;N17,"RL","YL"))</f>
        <v>#N/A</v>
      </c>
      <c r="S17" s="66" t="e">
        <f t="shared" si="1"/>
        <v>#N/A</v>
      </c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</row>
    <row r="18" spans="1:54" x14ac:dyDescent="0.2">
      <c r="A18" s="1" t="s">
        <v>24</v>
      </c>
      <c r="B18" s="1" t="s">
        <v>8</v>
      </c>
      <c r="C18" s="16" t="s">
        <v>291</v>
      </c>
      <c r="D18" s="45"/>
      <c r="E18" s="50" t="s">
        <v>297</v>
      </c>
      <c r="F18" s="51">
        <f>VLOOKUP(LPartNum,Spiral_Drawing_Lookup_Table[],8,FALSE)</f>
        <v>1</v>
      </c>
      <c r="G18" s="45"/>
      <c r="H18" s="111"/>
      <c r="I18" s="11" t="s">
        <v>133</v>
      </c>
      <c r="J18" s="1" t="s">
        <v>465</v>
      </c>
      <c r="K18" s="26">
        <f>Data12*1</f>
        <v>0</v>
      </c>
      <c r="L18" s="2" t="e">
        <f>VLOOKUP(DwgNum,Spiral_Dims_Table[],HLOOKUP(CONCATENATE(I18,"_",MeshGauge),Spiral_Dims_Table[#All],2,FALSE),FALSE)</f>
        <v>#N/A</v>
      </c>
      <c r="M18" s="2" t="e">
        <f t="shared" si="0"/>
        <v>#N/A</v>
      </c>
      <c r="N18" s="2">
        <f>VLOOKUP($I18,Spiral_Tolerance_Table[],HLOOKUP(N$6,Spiral_Tolerance_Table[#All],2,FALSE),FALSE)</f>
        <v>-1.4999999999999999E-2</v>
      </c>
      <c r="O18" s="2">
        <f>VLOOKUP($I18,Spiral_Tolerance_Table[],HLOOKUP(O$6,Spiral_Tolerance_Table[#All],2,FALSE),FALSE)</f>
        <v>-1.1900000000000001E-2</v>
      </c>
      <c r="P18" s="2">
        <f>VLOOKUP($I18,Spiral_Tolerance_Table[],HLOOKUP(P$6,Spiral_Tolerance_Table[#All],2,FALSE),FALSE)</f>
        <v>1.1900000000000001E-2</v>
      </c>
      <c r="Q18" s="2">
        <f>VLOOKUP($I18,Spiral_Tolerance_Table[],HLOOKUP(Q$6,Spiral_Tolerance_Table[#All],2,FALSE),FALSE)</f>
        <v>1.4999999999999999E-2</v>
      </c>
      <c r="R18" s="34" t="e">
        <f>IF(M18&gt;=O18,IF(M18&lt;=P18,"G",IF(M18&gt;Q18,"RH","YH")),IF(M18&lt;N18,"RL","YL"))</f>
        <v>#N/A</v>
      </c>
      <c r="S18" s="66" t="e">
        <f t="shared" si="1"/>
        <v>#N/A</v>
      </c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</row>
    <row r="19" spans="1:54" x14ac:dyDescent="0.2">
      <c r="A19" s="1" t="s">
        <v>25</v>
      </c>
      <c r="B19" s="1" t="s">
        <v>9</v>
      </c>
      <c r="C19" s="16" t="s">
        <v>428</v>
      </c>
      <c r="D19" s="45"/>
      <c r="E19" s="50" t="s">
        <v>298</v>
      </c>
      <c r="F19" s="51" t="str">
        <f>IF(OR(OR(LPartNum="ASB",LPartNum="ASB-W"),Spirals_Per_Pitch&gt;1),C15,"Inside Spiral")</f>
        <v>Inside Spiral</v>
      </c>
      <c r="G19" s="45"/>
      <c r="H19" s="111"/>
      <c r="I19" s="11" t="s">
        <v>148</v>
      </c>
      <c r="J19" s="1" t="s">
        <v>172</v>
      </c>
      <c r="K19" s="26">
        <f>Data13*1</f>
        <v>0</v>
      </c>
      <c r="L19" s="2" t="e">
        <f>VLOOKUP(DwgNum,Spiral_Dims_Table[],HLOOKUP(CONCATENATE(MID($I19,3,50),"_",MeshGauge),Spiral_Dims_Table[#All],2,FALSE),FALSE)</f>
        <v>#N/A</v>
      </c>
      <c r="M19" s="2" t="e">
        <f t="shared" si="0"/>
        <v>#N/A</v>
      </c>
      <c r="N19" s="2">
        <f>VLOOKUP($I19,Spiral_Tolerance_Table[],HLOOKUP(N$6,Spiral_Tolerance_Table[#All],2,FALSE),FALSE)</f>
        <v>-0.01</v>
      </c>
      <c r="O19" s="2">
        <f>VLOOKUP($I19,Spiral_Tolerance_Table[],HLOOKUP(O$6,Spiral_Tolerance_Table[#All],2,FALSE),FALSE)</f>
        <v>-6.8999999999999999E-3</v>
      </c>
      <c r="P19" s="2">
        <f>VLOOKUP($I19,Spiral_Tolerance_Table[],HLOOKUP(P$6,Spiral_Tolerance_Table[#All],2,FALSE),FALSE)</f>
        <v>6.8999999999999999E-3</v>
      </c>
      <c r="Q19" s="2">
        <f>VLOOKUP($I19,Spiral_Tolerance_Table[],HLOOKUP(Q$6,Spiral_Tolerance_Table[#All],2,FALSE),FALSE)</f>
        <v>0.01</v>
      </c>
      <c r="R19" s="34" t="str">
        <f t="shared" si="2"/>
        <v>G</v>
      </c>
      <c r="S19" s="66" t="str">
        <f t="shared" si="1"/>
        <v/>
      </c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</row>
    <row r="20" spans="1:54" x14ac:dyDescent="0.2">
      <c r="A20" s="1" t="s">
        <v>26</v>
      </c>
      <c r="B20" s="1" t="s">
        <v>10</v>
      </c>
      <c r="C20" s="16">
        <v>1</v>
      </c>
      <c r="D20" s="45"/>
      <c r="E20" s="60" t="s">
        <v>299</v>
      </c>
      <c r="F20" s="63"/>
      <c r="G20" s="45"/>
      <c r="H20" s="111"/>
      <c r="I20" s="11" t="s">
        <v>149</v>
      </c>
      <c r="J20" s="1" t="s">
        <v>173</v>
      </c>
      <c r="K20" s="26">
        <f>Data14*1</f>
        <v>0</v>
      </c>
      <c r="L20" s="2" t="e">
        <f>VLOOKUP(DwgNum,Spiral_Dims_Table[],HLOOKUP(CONCATENATE(MID($I20,3,50),"_",MeshGauge),Spiral_Dims_Table[#All],2,FALSE),FALSE)</f>
        <v>#N/A</v>
      </c>
      <c r="M20" s="2" t="e">
        <f t="shared" si="0"/>
        <v>#N/A</v>
      </c>
      <c r="N20" s="2">
        <f>VLOOKUP($I20,Spiral_Tolerance_Table[],HLOOKUP(N$6,Spiral_Tolerance_Table[#All],2,FALSE),FALSE)</f>
        <v>-0.01</v>
      </c>
      <c r="O20" s="2">
        <f>VLOOKUP($I20,Spiral_Tolerance_Table[],HLOOKUP(O$6,Spiral_Tolerance_Table[#All],2,FALSE),FALSE)</f>
        <v>-6.8999999999999999E-3</v>
      </c>
      <c r="P20" s="2">
        <f>VLOOKUP($I20,Spiral_Tolerance_Table[],HLOOKUP(P$6,Spiral_Tolerance_Table[#All],2,FALSE),FALSE)</f>
        <v>6.8999999999999999E-3</v>
      </c>
      <c r="Q20" s="2">
        <f>VLOOKUP($I20,Spiral_Tolerance_Table[],HLOOKUP(Q$6,Spiral_Tolerance_Table[#All],2,FALSE),FALSE)</f>
        <v>0.01</v>
      </c>
      <c r="R20" s="34" t="str">
        <f t="shared" si="2"/>
        <v>G</v>
      </c>
      <c r="S20" s="66" t="str">
        <f>IF(R20="RL",CONCATENATE(" The ",J20," is Below the Minimum Tolerance (Target: ",L20," inches)?",""),IF(R20="RH",CONCATENATE(" The ",J20," is Above the Maximum Tolerance (Target: ",L20," inches)?",""),""))</f>
        <v/>
      </c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</row>
    <row r="21" spans="1:54" x14ac:dyDescent="0.2">
      <c r="A21" s="1" t="s">
        <v>27</v>
      </c>
      <c r="B21" s="1" t="s">
        <v>11</v>
      </c>
      <c r="C21" s="65"/>
      <c r="D21" s="45"/>
      <c r="E21" s="50" t="s">
        <v>311</v>
      </c>
      <c r="F21" s="51" t="s">
        <v>640</v>
      </c>
      <c r="G21" s="45"/>
      <c r="H21" s="111"/>
      <c r="I21" s="11" t="s">
        <v>150</v>
      </c>
      <c r="J21" s="1" t="s">
        <v>174</v>
      </c>
      <c r="K21" s="26">
        <f>Data15*1</f>
        <v>0</v>
      </c>
      <c r="L21" s="2">
        <f>Fabric_Width</f>
        <v>0</v>
      </c>
      <c r="M21" s="2">
        <f t="shared" si="0"/>
        <v>0</v>
      </c>
      <c r="N21" s="2">
        <f>VLOOKUP($I21,Spiral_Tolerance_Table[],HLOOKUP(N$6,Spiral_Tolerance_Table[#All],2,FALSE),FALSE)</f>
        <v>0</v>
      </c>
      <c r="O21" s="2">
        <f>VLOOKUP($I21,Spiral_Tolerance_Table[],HLOOKUP(O$6,Spiral_Tolerance_Table[#All],2,FALSE),FALSE)</f>
        <v>0</v>
      </c>
      <c r="P21" s="2">
        <f>VLOOKUP($I21,Spiral_Tolerance_Table[],HLOOKUP(P$6,Spiral_Tolerance_Table[#All],2,FALSE),FALSE)</f>
        <v>0.25</v>
      </c>
      <c r="Q21" s="2">
        <f>VLOOKUP($I21,Spiral_Tolerance_Table[],HLOOKUP(Q$6,Spiral_Tolerance_Table[#All],2,FALSE),FALSE)</f>
        <v>0.39400000000000002</v>
      </c>
      <c r="R21" s="34" t="str">
        <f>IF(M21&gt;=O21,IF(M21&lt;=P21,"G",IF(M21&gt;Q21,"RH","YH")),IF(M21&lt;N21,"RL","YL"))</f>
        <v>G</v>
      </c>
      <c r="S21" s="66" t="str">
        <f>IF(R21="RL",CONCATENATE(" The ",J21," is Below the Minimum Tolerance (Target: ",Fraction(L21,32)," inches)?",""),IF(R21="RH",CONCATENATE(" The ",J21," is Above the Maximum Tolerance (Target: ",Fraction(L21,32)," inches)?",""),""))</f>
        <v/>
      </c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</row>
    <row r="22" spans="1:54" x14ac:dyDescent="0.2">
      <c r="A22" s="3" t="s">
        <v>31</v>
      </c>
      <c r="B22" s="1" t="s">
        <v>50</v>
      </c>
      <c r="C22" s="17">
        <v>0.23499999999999999</v>
      </c>
      <c r="D22" s="45"/>
      <c r="E22" s="50" t="s">
        <v>364</v>
      </c>
      <c r="F22" s="51" t="s">
        <v>182</v>
      </c>
      <c r="G22" s="45"/>
      <c r="H22" s="111"/>
      <c r="I22" s="46" t="s">
        <v>178</v>
      </c>
      <c r="J22" s="1" t="s">
        <v>178</v>
      </c>
      <c r="K22" s="26">
        <f>C59*1</f>
        <v>1</v>
      </c>
      <c r="L22" s="2">
        <v>0</v>
      </c>
      <c r="M22" s="2">
        <f t="shared" si="0"/>
        <v>1</v>
      </c>
      <c r="N22" s="2">
        <f>VLOOKUP($I22,Spiral_Tolerance_Table[],HLOOKUP(N$6,Spiral_Tolerance_Table[#All],2,FALSE),FALSE)</f>
        <v>0</v>
      </c>
      <c r="O22" s="2">
        <f>VLOOKUP($I22,Spiral_Tolerance_Table[],HLOOKUP(O$6,Spiral_Tolerance_Table[#All],2,FALSE),FALSE)</f>
        <v>0</v>
      </c>
      <c r="P22" s="2">
        <f>VLOOKUP($I22,Spiral_Tolerance_Table[],HLOOKUP(P$6,Spiral_Tolerance_Table[#All],2,FALSE),FALSE)</f>
        <v>0</v>
      </c>
      <c r="Q22" s="2">
        <f>VLOOKUP($I22,Spiral_Tolerance_Table[],HLOOKUP(Q$6,Spiral_Tolerance_Table[#All],2,FALSE),FALSE)</f>
        <v>0</v>
      </c>
      <c r="R22" s="34" t="str">
        <f t="shared" si="2"/>
        <v>RH</v>
      </c>
      <c r="S22" s="66" t="str">
        <f>IF(R22="G","","Dog Legs are unacceptable?")</f>
        <v>Dog Legs are unacceptable?</v>
      </c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</row>
    <row r="23" spans="1:54" x14ac:dyDescent="0.2">
      <c r="A23" s="3" t="s">
        <v>30</v>
      </c>
      <c r="B23" s="1" t="s">
        <v>51</v>
      </c>
      <c r="C23" s="17">
        <v>0.435</v>
      </c>
      <c r="D23" s="45"/>
      <c r="E23" s="116" t="s">
        <v>414</v>
      </c>
      <c r="F23" s="119" t="s">
        <v>644</v>
      </c>
      <c r="G23" s="45"/>
      <c r="H23" s="111"/>
      <c r="I23" s="46" t="s">
        <v>179</v>
      </c>
      <c r="J23" s="1" t="s">
        <v>179</v>
      </c>
      <c r="K23" s="26">
        <f>C60*1</f>
        <v>0</v>
      </c>
      <c r="L23" s="2">
        <v>0</v>
      </c>
      <c r="M23" s="2">
        <f t="shared" si="0"/>
        <v>0</v>
      </c>
      <c r="N23" s="2">
        <f>VLOOKUP($I23,Spiral_Tolerance_Table[],HLOOKUP(N$6,Spiral_Tolerance_Table[#All],2,FALSE),FALSE)</f>
        <v>0</v>
      </c>
      <c r="O23" s="2">
        <f>VLOOKUP($I23,Spiral_Tolerance_Table[],HLOOKUP(O$6,Spiral_Tolerance_Table[#All],2,FALSE),FALSE)</f>
        <v>0</v>
      </c>
      <c r="P23" s="2">
        <f>VLOOKUP($I23,Spiral_Tolerance_Table[],HLOOKUP(P$6,Spiral_Tolerance_Table[#All],2,FALSE),FALSE)</f>
        <v>0</v>
      </c>
      <c r="Q23" s="2">
        <f>VLOOKUP($I23,Spiral_Tolerance_Table[],HLOOKUP(Q$6,Spiral_Tolerance_Table[#All],2,FALSE),FALSE)</f>
        <v>0</v>
      </c>
      <c r="R23" s="34" t="str">
        <f t="shared" si="2"/>
        <v>G</v>
      </c>
      <c r="S23" s="66" t="str">
        <f>IF(R23="G","","Burrs are unacceptable?")</f>
        <v/>
      </c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</row>
    <row r="24" spans="1:54" x14ac:dyDescent="0.2">
      <c r="A24" s="3" t="s">
        <v>32</v>
      </c>
      <c r="B24" s="1" t="s">
        <v>52</v>
      </c>
      <c r="C24" s="17">
        <v>147</v>
      </c>
      <c r="D24" s="45"/>
      <c r="E24" s="117"/>
      <c r="F24" s="120"/>
      <c r="G24" s="45"/>
      <c r="H24" s="111"/>
      <c r="I24" s="46" t="s">
        <v>180</v>
      </c>
      <c r="J24" s="1" t="s">
        <v>180</v>
      </c>
      <c r="K24" s="26">
        <f>C61*1</f>
        <v>0</v>
      </c>
      <c r="L24" s="2">
        <v>0</v>
      </c>
      <c r="M24" s="2">
        <f t="shared" si="0"/>
        <v>0</v>
      </c>
      <c r="N24" s="2">
        <f>VLOOKUP($I24,Spiral_Tolerance_Table[],HLOOKUP(N$6,Spiral_Tolerance_Table[#All],2,FALSE),FALSE)</f>
        <v>0</v>
      </c>
      <c r="O24" s="2">
        <f>VLOOKUP($I24,Spiral_Tolerance_Table[],HLOOKUP(O$6,Spiral_Tolerance_Table[#All],2,FALSE),FALSE)</f>
        <v>0</v>
      </c>
      <c r="P24" s="2">
        <f>VLOOKUP($I24,Spiral_Tolerance_Table[],HLOOKUP(P$6,Spiral_Tolerance_Table[#All],2,FALSE),FALSE)</f>
        <v>0</v>
      </c>
      <c r="Q24" s="2">
        <f>VLOOKUP($I24,Spiral_Tolerance_Table[],HLOOKUP(Q$6,Spiral_Tolerance_Table[#All],2,FALSE),FALSE)</f>
        <v>0</v>
      </c>
      <c r="R24" s="34" t="str">
        <f t="shared" si="2"/>
        <v>G</v>
      </c>
      <c r="S24" s="66" t="str">
        <f>IF(R24="G","","Twists in the spiral are unacceptable?")</f>
        <v/>
      </c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</row>
    <row r="25" spans="1:54" x14ac:dyDescent="0.2">
      <c r="A25" s="3" t="s">
        <v>33</v>
      </c>
      <c r="B25" s="1" t="s">
        <v>53</v>
      </c>
      <c r="C25" s="17"/>
      <c r="D25" s="45"/>
      <c r="E25" s="117"/>
      <c r="F25" s="120"/>
      <c r="G25" s="45"/>
      <c r="H25" s="111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</row>
    <row r="26" spans="1:54" x14ac:dyDescent="0.2">
      <c r="A26" s="3" t="s">
        <v>34</v>
      </c>
      <c r="B26" s="1" t="s">
        <v>54</v>
      </c>
      <c r="C26" s="17"/>
      <c r="D26" s="45"/>
      <c r="E26" s="117"/>
      <c r="F26" s="120"/>
      <c r="G26" s="45"/>
      <c r="H26" s="111"/>
      <c r="I26" s="11" t="s">
        <v>495</v>
      </c>
      <c r="J26" s="101" t="e">
        <f>CONCATENATE(S7,S8,S9,S10,S11,S12,S13,S14,S15,S16,S17,S18,S19,S20,S21,S22,S23,S24)</f>
        <v>#N/A</v>
      </c>
      <c r="K26" s="101"/>
      <c r="L26" s="101"/>
      <c r="M26" s="101"/>
      <c r="N26" s="101"/>
      <c r="O26" s="101"/>
      <c r="P26" s="101"/>
      <c r="Q26" s="101"/>
      <c r="R26" s="101"/>
      <c r="S26" s="101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</row>
    <row r="27" spans="1:54" x14ac:dyDescent="0.2">
      <c r="A27" s="3" t="s">
        <v>35</v>
      </c>
      <c r="B27" s="1" t="s">
        <v>55</v>
      </c>
      <c r="C27" s="17"/>
      <c r="D27" s="45"/>
      <c r="E27" s="117"/>
      <c r="F27" s="120"/>
      <c r="G27" s="45"/>
      <c r="H27" s="111"/>
      <c r="I27" s="11" t="s">
        <v>360</v>
      </c>
      <c r="J27" s="12" t="str">
        <f>VLOOKUP(LPartNum,Spiral_Drawing_Lookup_Table[],5,FALSE)</f>
        <v>EJWI-051A</v>
      </c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</row>
    <row r="28" spans="1:54" x14ac:dyDescent="0.2">
      <c r="A28" s="3" t="s">
        <v>36</v>
      </c>
      <c r="B28" s="1" t="s">
        <v>56</v>
      </c>
      <c r="C28" s="17"/>
      <c r="D28" s="45"/>
      <c r="E28" s="117"/>
      <c r="F28" s="120"/>
      <c r="G28" s="45"/>
      <c r="H28" s="112"/>
      <c r="I28" s="11" t="s">
        <v>361</v>
      </c>
      <c r="J28" s="1" t="str">
        <f>VLOOKUP(LPartNum,Spiral_Drawing_Lookup_Table[],4,FALSE)</f>
        <v>OGPC0012D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</row>
    <row r="29" spans="1:54" x14ac:dyDescent="0.2">
      <c r="A29" s="3" t="s">
        <v>37</v>
      </c>
      <c r="B29" s="1" t="s">
        <v>57</v>
      </c>
      <c r="C29" s="17"/>
      <c r="D29" s="45"/>
      <c r="E29" s="117"/>
      <c r="F29" s="120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</row>
    <row r="30" spans="1:54" ht="15" x14ac:dyDescent="0.25">
      <c r="A30" s="3" t="s">
        <v>38</v>
      </c>
      <c r="B30" s="1" t="s">
        <v>58</v>
      </c>
      <c r="C30" s="17"/>
      <c r="D30" s="45"/>
      <c r="E30" s="117"/>
      <c r="F30" s="120"/>
      <c r="G30" s="45"/>
      <c r="H30" s="113" t="s">
        <v>365</v>
      </c>
      <c r="I30" s="114" t="s">
        <v>312</v>
      </c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</row>
    <row r="31" spans="1:54" ht="60" x14ac:dyDescent="0.2">
      <c r="A31" s="3" t="s">
        <v>39</v>
      </c>
      <c r="B31" s="1" t="s">
        <v>59</v>
      </c>
      <c r="C31" s="17"/>
      <c r="D31" s="45"/>
      <c r="E31" s="118"/>
      <c r="F31" s="121"/>
      <c r="G31" s="45"/>
      <c r="H31" s="113"/>
      <c r="I31" s="18" t="s">
        <v>147</v>
      </c>
      <c r="J31" s="2" t="s">
        <v>171</v>
      </c>
      <c r="K31" s="5" t="s">
        <v>16</v>
      </c>
      <c r="L31" s="5" t="s">
        <v>169</v>
      </c>
      <c r="M31" s="5" t="s">
        <v>162</v>
      </c>
      <c r="N31" s="5" t="s">
        <v>279</v>
      </c>
      <c r="O31" s="68" t="s">
        <v>347</v>
      </c>
      <c r="P31" s="68" t="s">
        <v>348</v>
      </c>
      <c r="Q31" s="68" t="s">
        <v>280</v>
      </c>
      <c r="R31" s="68" t="s">
        <v>157</v>
      </c>
      <c r="S31" s="13" t="s">
        <v>170</v>
      </c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</row>
    <row r="32" spans="1:54" x14ac:dyDescent="0.2">
      <c r="A32" s="3" t="s">
        <v>40</v>
      </c>
      <c r="B32" s="1" t="s">
        <v>60</v>
      </c>
      <c r="C32" s="17"/>
      <c r="D32" s="45"/>
      <c r="E32" s="60" t="s">
        <v>415</v>
      </c>
      <c r="F32" s="63"/>
      <c r="G32" s="45"/>
      <c r="H32" s="113"/>
      <c r="I32" s="82" t="s">
        <v>316</v>
      </c>
      <c r="J32" s="83" t="s">
        <v>362</v>
      </c>
      <c r="K32" s="84">
        <f>Data1</f>
        <v>0.23499999999999999</v>
      </c>
      <c r="L32" s="84">
        <f>VLOOKUP(LPartNum,SC_Rod_Spec_Table[],4,FALSE)+Belt_Width</f>
        <v>0.3125</v>
      </c>
      <c r="M32" s="84">
        <f>K32-L32</f>
        <v>-7.7500000000000013E-2</v>
      </c>
      <c r="N32" s="84">
        <f>VLOOKUP(LPartNum,SC_Rod_Spec_Table[],HLOOKUP(CONCATENATE(N$31," ",$I32),SC_Rod_Spec_Table[#All],2,FALSE),FALSE)</f>
        <v>-1.5599999999999999E-2</v>
      </c>
      <c r="O32" s="84">
        <f>VLOOKUP(LPartNum,SC_Rod_Spec_Table[],HLOOKUP(CONCATENATE(O$31," ",$I32),SC_Rod_Spec_Table[#All],2,FALSE),FALSE)</f>
        <v>-1.5599999999999999E-2</v>
      </c>
      <c r="P32" s="84">
        <f>VLOOKUP(LPartNum,SC_Rod_Spec_Table[],HLOOKUP(CONCATENATE(P$31," ",$I32),SC_Rod_Spec_Table[#All],2,FALSE),FALSE)</f>
        <v>1.5599999999999999E-2</v>
      </c>
      <c r="Q32" s="84">
        <f>VLOOKUP(LPartNum,SC_Rod_Spec_Table[],HLOOKUP(CONCATENATE(Q$31," ",$I32),SC_Rod_Spec_Table[#All],2,FALSE),FALSE)</f>
        <v>1.5599999999999999E-2</v>
      </c>
      <c r="R32" s="84" t="str">
        <f>IF(M32&gt;=O32,IF(M32&lt;=P32,"G",IF(M32&gt;Q32,"RH","YH")),IF(M32&lt;N32,"RL","YL"))</f>
        <v>RL</v>
      </c>
      <c r="S32" s="85" t="str">
        <f>IF(Setup_Run="Setup",IF(R32="RL",CONCATENATE(" The ",J32," is Below the Minimum Tolerance (Target: ",L32," [",Fraction(L32,64),"] inches)?",""),IF(R32="RH",CONCATENATE(" The ",J32," is Above the Maximum Tolerance (Target: ",L32," [",Fraction(L32,64),"] inches)?",""),"")),"")</f>
        <v/>
      </c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</row>
    <row r="33" spans="1:54" x14ac:dyDescent="0.2">
      <c r="A33" s="3" t="s">
        <v>41</v>
      </c>
      <c r="B33" s="1" t="s">
        <v>61</v>
      </c>
      <c r="C33" s="17"/>
      <c r="D33" s="45"/>
      <c r="E33" s="50" t="s">
        <v>370</v>
      </c>
      <c r="F33" s="52" t="e">
        <f>VALUE(TRIM(CLEAN(MID(F32,SEARCH("x",F32,1)+1,100))))</f>
        <v>#VALUE!</v>
      </c>
      <c r="G33" s="45"/>
      <c r="H33" s="113"/>
      <c r="I33" s="78" t="s">
        <v>313</v>
      </c>
      <c r="J33" s="79" t="s">
        <v>363</v>
      </c>
      <c r="K33" s="80">
        <f>IF(Setup_Run="Setup",1,Check2)</f>
        <v>1</v>
      </c>
      <c r="L33" s="80">
        <v>1</v>
      </c>
      <c r="M33" s="80">
        <f>K33-L33</f>
        <v>0</v>
      </c>
      <c r="N33" s="80">
        <v>0</v>
      </c>
      <c r="O33" s="80">
        <v>0</v>
      </c>
      <c r="P33" s="80">
        <v>0</v>
      </c>
      <c r="Q33" s="80">
        <v>0</v>
      </c>
      <c r="R33" s="80" t="str">
        <f>IF(M33&gt;=O33,IF(M33&lt;=P33,"G",IF(M33&gt;Q33,"RH","YH")),IF(M33&lt;N33,"RL","YL"))</f>
        <v>G</v>
      </c>
      <c r="S33" s="81" t="str">
        <f>IF(Setup_Run="Run",IF(R33="G","","The Rod Must Pass Visual Length Inspection?"),"")</f>
        <v/>
      </c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</row>
    <row r="34" spans="1:54" x14ac:dyDescent="0.2">
      <c r="A34" s="3" t="s">
        <v>42</v>
      </c>
      <c r="B34" s="1" t="s">
        <v>62</v>
      </c>
      <c r="C34" s="17"/>
      <c r="D34" s="45"/>
      <c r="E34" s="50" t="s">
        <v>407</v>
      </c>
      <c r="F34" s="52" t="e">
        <f>VALUE(TRIM(CLEAN(LEFT(F32,SEARCH("x",F32,1)-1))))</f>
        <v>#VALUE!</v>
      </c>
      <c r="G34" s="45"/>
      <c r="H34" s="113"/>
      <c r="I34" s="11" t="s">
        <v>314</v>
      </c>
      <c r="J34" s="1" t="s">
        <v>314</v>
      </c>
      <c r="K34" s="2">
        <f>Check3</f>
        <v>0</v>
      </c>
      <c r="L34" s="2">
        <v>1</v>
      </c>
      <c r="M34" s="2">
        <f>K34-L34</f>
        <v>-1</v>
      </c>
      <c r="N34" s="2">
        <v>0</v>
      </c>
      <c r="O34" s="2">
        <v>0</v>
      </c>
      <c r="P34" s="2">
        <v>0</v>
      </c>
      <c r="Q34" s="2">
        <v>0</v>
      </c>
      <c r="R34" s="2" t="str">
        <f>IF(M34&gt;=O34,IF(M34&lt;=P34,"G",IF(M34&gt;Q34,"RH","YH")),IF(M34&lt;N34,"RL","YL"))</f>
        <v>RL</v>
      </c>
      <c r="S34" s="66" t="str">
        <f>IF(R34="G","","The Rod Must Pass Visual Straightness Inspection?")</f>
        <v>The Rod Must Pass Visual Straightness Inspection?</v>
      </c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</row>
    <row r="35" spans="1:54" x14ac:dyDescent="0.2">
      <c r="A35" s="3" t="s">
        <v>43</v>
      </c>
      <c r="B35" s="1" t="s">
        <v>63</v>
      </c>
      <c r="C35" s="17"/>
      <c r="D35" s="45"/>
      <c r="E35" s="60" t="s">
        <v>416</v>
      </c>
      <c r="F35" s="63"/>
      <c r="G35" s="45"/>
      <c r="H35" s="113"/>
      <c r="I35" s="82" t="s">
        <v>315</v>
      </c>
      <c r="J35" s="83" t="s">
        <v>315</v>
      </c>
      <c r="K35" s="84">
        <f>Data2</f>
        <v>0.435</v>
      </c>
      <c r="L35" s="84">
        <f>VLOOKUP(LPartNum,SC_Rod_Spec_Table[],5,FALSE)</f>
        <v>0.192</v>
      </c>
      <c r="M35" s="84">
        <f>K35-L35</f>
        <v>0.24299999999999999</v>
      </c>
      <c r="N35" s="84">
        <f>VLOOKUP(LPartNum,SC_Rod_Spec_Table[],HLOOKUP(CONCATENATE(N$31," ",$I35),SC_Rod_Spec_Table[#All],2,FALSE),FALSE)</f>
        <v>-1E-3</v>
      </c>
      <c r="O35" s="84">
        <f>VLOOKUP(LPartNum,SC_Rod_Spec_Table[],HLOOKUP(CONCATENATE(O$31," ",$I35),SC_Rod_Spec_Table[#All],2,FALSE),FALSE)</f>
        <v>-1E-3</v>
      </c>
      <c r="P35" s="84">
        <f>VLOOKUP(LPartNum,SC_Rod_Spec_Table[],HLOOKUP(CONCATENATE(P$31," ",$I35),SC_Rod_Spec_Table[#All],2,FALSE),FALSE)</f>
        <v>1E-3</v>
      </c>
      <c r="Q35" s="84">
        <f>VLOOKUP(LPartNum,SC_Rod_Spec_Table[],HLOOKUP(CONCATENATE(Q$31," ",$I35),SC_Rod_Spec_Table[#All],2,FALSE),FALSE)</f>
        <v>1E-3</v>
      </c>
      <c r="R35" s="84" t="str">
        <f>IF(M35&gt;=O35,IF(M35&lt;=P35,"G",IF(M35&gt;Q35,"RH","YH")),IF(M35&lt;N35,"RL","YL"))</f>
        <v>RH</v>
      </c>
      <c r="S35" s="85" t="str">
        <f>IF(Setup_Run="Setup",IF(R35="RL",CONCATENATE(" The ",J35," is Below the Minimum Tolerance (Target: ",L35," inches)?",""),IF(R35="RH",CONCATENATE(" The ",J35," is Above the Maximum Tolerance (Target: ",L35," inches)?",""),"")),"")</f>
        <v/>
      </c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</row>
    <row r="36" spans="1:54" ht="14.25" customHeight="1" x14ac:dyDescent="0.2">
      <c r="A36" s="3" t="s">
        <v>44</v>
      </c>
      <c r="B36" s="1" t="s">
        <v>64</v>
      </c>
      <c r="C36" s="17"/>
      <c r="D36" s="45"/>
      <c r="E36" s="60" t="s">
        <v>433</v>
      </c>
      <c r="F36" s="63"/>
      <c r="G36" s="45"/>
      <c r="H36" s="113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</row>
    <row r="37" spans="1:54" x14ac:dyDescent="0.2">
      <c r="A37" s="3" t="s">
        <v>45</v>
      </c>
      <c r="B37" s="1" t="s">
        <v>65</v>
      </c>
      <c r="C37" s="17"/>
      <c r="D37" s="45"/>
      <c r="E37" s="60" t="s">
        <v>174</v>
      </c>
      <c r="F37" s="63"/>
      <c r="G37" s="45"/>
      <c r="H37" s="113"/>
      <c r="I37" s="11" t="s">
        <v>495</v>
      </c>
      <c r="J37" s="101" t="str">
        <f>CONCATENATE(S32,S33,S34,S35)</f>
        <v>The Rod Must Pass Visual Straightness Inspection?</v>
      </c>
      <c r="K37" s="101"/>
      <c r="L37" s="101"/>
      <c r="M37" s="101"/>
      <c r="N37" s="101"/>
      <c r="O37" s="101"/>
      <c r="P37" s="101"/>
      <c r="Q37" s="101"/>
      <c r="R37" s="101"/>
      <c r="S37" s="101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</row>
    <row r="38" spans="1:54" x14ac:dyDescent="0.2">
      <c r="A38" s="3" t="s">
        <v>46</v>
      </c>
      <c r="B38" s="1" t="s">
        <v>66</v>
      </c>
      <c r="C38" s="17"/>
      <c r="D38" s="45"/>
      <c r="E38" s="60" t="s">
        <v>518</v>
      </c>
      <c r="F38" s="63"/>
      <c r="G38" s="45"/>
      <c r="H38" s="113"/>
      <c r="I38" s="11" t="s">
        <v>360</v>
      </c>
      <c r="J38" s="12" t="str">
        <f>VLOOKUP(LPartNum,SC_Rod_Spec_Table[],HLOOKUP(I38,SC_Rod_Spec_Table[#All],2,FALSE),FALSE)</f>
        <v>EJWI-051A</v>
      </c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</row>
    <row r="39" spans="1:54" x14ac:dyDescent="0.2">
      <c r="A39" s="3" t="s">
        <v>47</v>
      </c>
      <c r="B39" s="1" t="s">
        <v>67</v>
      </c>
      <c r="C39" s="17"/>
      <c r="D39" s="45"/>
      <c r="E39" s="64" t="s">
        <v>459</v>
      </c>
      <c r="F39" s="45"/>
      <c r="G39" s="45"/>
      <c r="H39" s="113"/>
      <c r="I39" s="11" t="s">
        <v>361</v>
      </c>
      <c r="J39" s="1" t="str">
        <f>VLOOKUP(LPartNum,SC_Rod_Spec_Table[],HLOOKUP(I39,SC_Rod_Spec_Table[#All],2,FALSE),FALSE)</f>
        <v>SCPC0002B</v>
      </c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</row>
    <row r="40" spans="1:54" x14ac:dyDescent="0.2">
      <c r="A40" s="3" t="s">
        <v>48</v>
      </c>
      <c r="B40" s="1" t="s">
        <v>68</v>
      </c>
      <c r="C40" s="17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</row>
    <row r="41" spans="1:54" ht="15" x14ac:dyDescent="0.25">
      <c r="A41" s="3" t="s">
        <v>49</v>
      </c>
      <c r="B41" s="1" t="s">
        <v>69</v>
      </c>
      <c r="C41" s="17"/>
      <c r="D41" s="45"/>
      <c r="E41" s="45"/>
      <c r="F41" s="45"/>
      <c r="G41" s="45"/>
      <c r="H41" s="128" t="s">
        <v>457</v>
      </c>
      <c r="I41" s="126" t="s">
        <v>366</v>
      </c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</row>
    <row r="42" spans="1:54" ht="60" x14ac:dyDescent="0.2">
      <c r="A42" s="3" t="s">
        <v>70</v>
      </c>
      <c r="B42" s="3" t="s">
        <v>353</v>
      </c>
      <c r="C42" s="14"/>
      <c r="D42" s="45"/>
      <c r="E42" s="45"/>
      <c r="F42" s="45"/>
      <c r="G42" s="45"/>
      <c r="H42" s="128"/>
      <c r="I42" s="18" t="s">
        <v>147</v>
      </c>
      <c r="J42" s="2" t="s">
        <v>171</v>
      </c>
      <c r="K42" s="5" t="s">
        <v>16</v>
      </c>
      <c r="L42" s="5" t="s">
        <v>169</v>
      </c>
      <c r="M42" s="5" t="s">
        <v>162</v>
      </c>
      <c r="N42" s="5" t="s">
        <v>279</v>
      </c>
      <c r="O42" s="68" t="s">
        <v>347</v>
      </c>
      <c r="P42" s="68" t="s">
        <v>348</v>
      </c>
      <c r="Q42" s="68" t="s">
        <v>280</v>
      </c>
      <c r="R42" s="68" t="s">
        <v>157</v>
      </c>
      <c r="S42" s="13" t="s">
        <v>170</v>
      </c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  <c r="BA42" s="45"/>
      <c r="BB42" s="45"/>
    </row>
    <row r="43" spans="1:54" x14ac:dyDescent="0.2">
      <c r="A43" s="3" t="s">
        <v>72</v>
      </c>
      <c r="B43" s="3" t="s">
        <v>354</v>
      </c>
      <c r="C43" s="14" t="s">
        <v>632</v>
      </c>
      <c r="D43" s="45"/>
      <c r="E43" s="45"/>
      <c r="F43" s="45"/>
      <c r="G43" s="45"/>
      <c r="H43" s="128"/>
      <c r="I43" s="11" t="s">
        <v>367</v>
      </c>
      <c r="J43" s="1" t="s">
        <v>367</v>
      </c>
      <c r="K43" s="2">
        <f>Check2</f>
        <v>1</v>
      </c>
      <c r="L43" s="2">
        <v>1</v>
      </c>
      <c r="M43" s="2">
        <f>K43-L43</f>
        <v>0</v>
      </c>
      <c r="N43" s="2">
        <v>0</v>
      </c>
      <c r="O43" s="2">
        <v>0</v>
      </c>
      <c r="P43" s="2">
        <v>0</v>
      </c>
      <c r="Q43" s="2">
        <v>0</v>
      </c>
      <c r="R43" s="2" t="str">
        <f>IF(AND(M43&gt;=N43,M43&lt;=Q43),"G","R")</f>
        <v>G</v>
      </c>
      <c r="S43" s="66" t="str">
        <f>IF(R43="R","The Weld Must Pass Visual Inspection.","")</f>
        <v/>
      </c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</row>
    <row r="44" spans="1:54" x14ac:dyDescent="0.2">
      <c r="A44" s="3" t="s">
        <v>73</v>
      </c>
      <c r="B44" s="3" t="s">
        <v>355</v>
      </c>
      <c r="C44" s="14" t="s">
        <v>619</v>
      </c>
      <c r="D44" s="45"/>
      <c r="E44" s="50" t="s">
        <v>2</v>
      </c>
      <c r="F44" s="96" t="s">
        <v>617</v>
      </c>
      <c r="G44" s="45"/>
      <c r="H44" s="128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</row>
    <row r="45" spans="1:54" x14ac:dyDescent="0.2">
      <c r="A45" s="3" t="s">
        <v>76</v>
      </c>
      <c r="B45" s="3" t="s">
        <v>357</v>
      </c>
      <c r="C45" s="14" t="s">
        <v>631</v>
      </c>
      <c r="D45" s="45"/>
      <c r="E45" s="45"/>
      <c r="F45" s="45"/>
      <c r="G45" s="45"/>
      <c r="H45" s="128"/>
      <c r="I45" s="1" t="s">
        <v>495</v>
      </c>
      <c r="J45" s="101" t="str">
        <f>S43</f>
        <v/>
      </c>
      <c r="K45" s="101"/>
      <c r="L45" s="101"/>
      <c r="M45" s="101"/>
      <c r="N45" s="101"/>
      <c r="O45" s="101"/>
      <c r="P45" s="101"/>
      <c r="Q45" s="101"/>
      <c r="R45" s="101"/>
      <c r="S45" s="101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</row>
    <row r="46" spans="1:54" x14ac:dyDescent="0.2">
      <c r="A46" s="3" t="s">
        <v>77</v>
      </c>
      <c r="B46" s="3" t="s">
        <v>358</v>
      </c>
      <c r="C46" s="14">
        <v>12</v>
      </c>
      <c r="D46" s="45"/>
      <c r="E46" s="45"/>
      <c r="F46" s="45"/>
      <c r="G46" s="45"/>
      <c r="H46" s="128"/>
      <c r="I46" s="1" t="s">
        <v>360</v>
      </c>
      <c r="J46" s="12" t="s">
        <v>291</v>
      </c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</row>
    <row r="47" spans="1:54" x14ac:dyDescent="0.2">
      <c r="A47" s="3" t="s">
        <v>78</v>
      </c>
      <c r="B47" s="3" t="s">
        <v>359</v>
      </c>
      <c r="C47" s="14"/>
      <c r="D47" s="45"/>
      <c r="E47" s="45"/>
      <c r="F47" s="45"/>
      <c r="G47" s="45"/>
      <c r="H47" s="128"/>
      <c r="I47" s="1" t="s">
        <v>361</v>
      </c>
      <c r="J47" s="1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</row>
    <row r="48" spans="1:54" x14ac:dyDescent="0.2">
      <c r="A48" s="3" t="s">
        <v>79</v>
      </c>
      <c r="B48" s="3" t="s">
        <v>90</v>
      </c>
      <c r="C48" s="14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</row>
    <row r="49" spans="1:54" ht="15" customHeight="1" x14ac:dyDescent="0.25">
      <c r="A49" s="3" t="s">
        <v>80</v>
      </c>
      <c r="B49" s="3" t="s">
        <v>91</v>
      </c>
      <c r="C49" s="14"/>
      <c r="D49" s="45"/>
      <c r="E49" s="45"/>
      <c r="F49" s="45"/>
      <c r="G49" s="45"/>
      <c r="H49" s="129" t="s">
        <v>406</v>
      </c>
      <c r="I49" s="123" t="s">
        <v>405</v>
      </c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</row>
    <row r="50" spans="1:54" ht="60" x14ac:dyDescent="0.2">
      <c r="A50" s="3" t="s">
        <v>81</v>
      </c>
      <c r="B50" s="3" t="s">
        <v>92</v>
      </c>
      <c r="C50" s="14"/>
      <c r="D50" s="45"/>
      <c r="E50" s="45"/>
      <c r="F50" s="45"/>
      <c r="G50" s="45"/>
      <c r="H50" s="129"/>
      <c r="I50" s="18" t="s">
        <v>147</v>
      </c>
      <c r="J50" s="2" t="s">
        <v>171</v>
      </c>
      <c r="K50" s="5" t="s">
        <v>16</v>
      </c>
      <c r="L50" s="5" t="s">
        <v>169</v>
      </c>
      <c r="M50" s="5" t="s">
        <v>162</v>
      </c>
      <c r="N50" s="5" t="s">
        <v>279</v>
      </c>
      <c r="O50" s="68" t="s">
        <v>347</v>
      </c>
      <c r="P50" s="68" t="s">
        <v>348</v>
      </c>
      <c r="Q50" s="68" t="s">
        <v>280</v>
      </c>
      <c r="R50" s="68" t="s">
        <v>157</v>
      </c>
      <c r="S50" s="13" t="s">
        <v>170</v>
      </c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</row>
    <row r="51" spans="1:54" x14ac:dyDescent="0.2">
      <c r="A51" s="3" t="s">
        <v>82</v>
      </c>
      <c r="B51" s="3" t="s">
        <v>93</v>
      </c>
      <c r="C51" s="14"/>
      <c r="D51" s="45"/>
      <c r="E51" s="45"/>
      <c r="F51" s="45"/>
      <c r="G51" s="45"/>
      <c r="H51" s="129"/>
      <c r="I51" s="11" t="s">
        <v>370</v>
      </c>
      <c r="J51" s="1" t="s">
        <v>370</v>
      </c>
      <c r="K51" s="2">
        <f>Data1</f>
        <v>0.23499999999999999</v>
      </c>
      <c r="L51" s="2" t="e">
        <f>Spiral_Thick</f>
        <v>#VALUE!</v>
      </c>
      <c r="M51" s="2" t="e">
        <f>K51-L51</f>
        <v>#VALUE!</v>
      </c>
      <c r="N51" s="2" t="e">
        <f>VLOOKUP(LPartNum,Woven_Spiral_Table[],HLOOKUP(CONCATENATE($I51," ",Setup_Run," ",N$50),Woven_Spiral_Table[#All],2,FALSE),FALSE)</f>
        <v>#N/A</v>
      </c>
      <c r="O51" s="2" t="e">
        <f>VLOOKUP(LPartNum,Woven_Spiral_Table[],HLOOKUP(CONCATENATE($I51," ",Setup_Run," ",O$50),Woven_Spiral_Table[#All],2,FALSE),FALSE)</f>
        <v>#N/A</v>
      </c>
      <c r="P51" s="2" t="e">
        <f>VLOOKUP(LPartNum,Woven_Spiral_Table[],HLOOKUP(CONCATENATE($I51," ",Setup_Run," ",P$50),Woven_Spiral_Table[#All],2,FALSE),FALSE)</f>
        <v>#N/A</v>
      </c>
      <c r="Q51" s="2" t="e">
        <f>VLOOKUP(LPartNum,Woven_Spiral_Table[],HLOOKUP(CONCATENATE($I51," ",Setup_Run," ",Q$50),Woven_Spiral_Table[#All],2,FALSE),FALSE)</f>
        <v>#N/A</v>
      </c>
      <c r="R51" s="2" t="e">
        <f>IF(M51&gt;=O51,IF(M51&lt;=P51,"G",IF(M51&gt;Q51,"RH","YH")),IF(M51&lt;N51,"RL","YL"))</f>
        <v>#VALUE!</v>
      </c>
      <c r="S51" s="66" t="e">
        <f>IF(R51="RL",CONCATENATE(" The ",J51," is Below the Minimum Tolerance (Target: ",L51," inches)?",""),IF(R51="RH",CONCATENATE(" The ",J51," is Above the Maximum Tolerance (Target: ",L51," inches)?",""),""))</f>
        <v>#VALUE!</v>
      </c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</row>
    <row r="52" spans="1:54" x14ac:dyDescent="0.2">
      <c r="A52" s="3" t="s">
        <v>83</v>
      </c>
      <c r="B52" s="3" t="s">
        <v>94</v>
      </c>
      <c r="C52" s="14"/>
      <c r="D52" s="45"/>
      <c r="E52" s="45"/>
      <c r="F52" s="45"/>
      <c r="G52" s="45"/>
      <c r="H52" s="129"/>
      <c r="I52" s="46" t="s">
        <v>407</v>
      </c>
      <c r="J52" s="3" t="s">
        <v>407</v>
      </c>
      <c r="K52" s="2">
        <f>Data2</f>
        <v>0.435</v>
      </c>
      <c r="L52" s="2" t="e">
        <f>Spiral_Width</f>
        <v>#VALUE!</v>
      </c>
      <c r="M52" s="2" t="e">
        <f>K52-L52</f>
        <v>#VALUE!</v>
      </c>
      <c r="N52" s="2" t="e">
        <f>VLOOKUP(LPartNum,Woven_Spiral_Table[],HLOOKUP(CONCATENATE($I52," ",Setup_Run," ",N$50),Woven_Spiral_Table[#All],2,FALSE),FALSE)</f>
        <v>#N/A</v>
      </c>
      <c r="O52" s="2" t="e">
        <f>VLOOKUP(LPartNum,Woven_Spiral_Table[],HLOOKUP(CONCATENATE($I52," ",Setup_Run," ",O$50),Woven_Spiral_Table[#All],2,FALSE),FALSE)</f>
        <v>#N/A</v>
      </c>
      <c r="P52" s="2" t="e">
        <f>VLOOKUP(LPartNum,Woven_Spiral_Table[],HLOOKUP(CONCATENATE($I52," ",Setup_Run," ",P$50),Woven_Spiral_Table[#All],2,FALSE),FALSE)</f>
        <v>#N/A</v>
      </c>
      <c r="Q52" s="2" t="e">
        <f>VLOOKUP(LPartNum,Woven_Spiral_Table[],HLOOKUP(CONCATENATE($I52," ",Setup_Run," ",Q$50),Woven_Spiral_Table[#All],2,FALSE),FALSE)</f>
        <v>#N/A</v>
      </c>
      <c r="R52" s="2" t="e">
        <f>IF(M52&gt;=O52,IF(M52&lt;=P52,"G",IF(M52&gt;Q52,"RH","YH")),IF(M52&lt;N52,"RL","YL"))</f>
        <v>#VALUE!</v>
      </c>
      <c r="S52" s="66" t="e">
        <f>IF(R52="RL",CONCATENATE(" The ",J52," is Below the Minimum Tolerance (Target: ",L52," inches)?",""),IF(R52="RH",CONCATENATE(" The ",J52," is Above the Maximum Tolerance (Target: ",L52," inches)?",""),""))</f>
        <v>#VALUE!</v>
      </c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</row>
    <row r="53" spans="1:54" x14ac:dyDescent="0.2">
      <c r="A53" s="3" t="s">
        <v>84</v>
      </c>
      <c r="B53" s="3" t="s">
        <v>95</v>
      </c>
      <c r="C53" s="14"/>
      <c r="D53" s="45"/>
      <c r="E53" s="45"/>
      <c r="F53" s="45"/>
      <c r="G53" s="45"/>
      <c r="H53" s="129"/>
      <c r="I53" s="82" t="s">
        <v>371</v>
      </c>
      <c r="J53" s="83" t="s">
        <v>371</v>
      </c>
      <c r="K53" s="84">
        <f>Data3</f>
        <v>147</v>
      </c>
      <c r="L53" s="84">
        <f>Loop_Count</f>
        <v>0</v>
      </c>
      <c r="M53" s="84">
        <f>K53-L53</f>
        <v>147</v>
      </c>
      <c r="N53" s="84" t="e">
        <f>VLOOKUP(LPartNum,Woven_Spiral_Table[],HLOOKUP(CONCATENATE($I53," ",Setup_Run," ",N$50),Woven_Spiral_Table[#All],2,FALSE),FALSE)</f>
        <v>#N/A</v>
      </c>
      <c r="O53" s="84" t="e">
        <f>VLOOKUP(LPartNum,Woven_Spiral_Table[],HLOOKUP(CONCATENATE($I53," ",Setup_Run," ",O$50),Woven_Spiral_Table[#All],2,FALSE),FALSE)</f>
        <v>#N/A</v>
      </c>
      <c r="P53" s="84" t="e">
        <f>VLOOKUP(LPartNum,Woven_Spiral_Table[],HLOOKUP(CONCATENATE($I53," ",Setup_Run," ",P$50),Woven_Spiral_Table[#All],2,FALSE),FALSE)</f>
        <v>#N/A</v>
      </c>
      <c r="Q53" s="84" t="e">
        <f>VLOOKUP(LPartNum,Woven_Spiral_Table[],HLOOKUP(CONCATENATE($I53," ",Setup_Run," ",Q$50),Woven_Spiral_Table[#All],2,FALSE),FALSE)</f>
        <v>#N/A</v>
      </c>
      <c r="R53" s="84" t="e">
        <f>IF(M53&gt;=O53,IF(M53&lt;=P53,"G",IF(M53&gt;Q53,"RH","YH")),IF(M53&lt;N53,"RL","YL"))</f>
        <v>#N/A</v>
      </c>
      <c r="S53" s="85" t="str">
        <f>IF(Setup_Run="Setup",IF(R53="RL",CONCATENATE(" The ",J53," is Below the Minimum Tolerance (Target: ",L53," inches)?",""),IF(R53="RH",CONCATENATE(" The ",J53," is Above the Maximum Tolerance (Target: ",L53," inches)?",""),"")),"")</f>
        <v/>
      </c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</row>
    <row r="54" spans="1:54" x14ac:dyDescent="0.2">
      <c r="A54" s="3" t="s">
        <v>85</v>
      </c>
      <c r="B54" s="3" t="s">
        <v>96</v>
      </c>
      <c r="C54" s="14"/>
      <c r="D54" s="45"/>
      <c r="E54" s="45"/>
      <c r="F54" s="45"/>
      <c r="G54" s="45"/>
      <c r="H54" s="129"/>
      <c r="I54" s="78" t="s">
        <v>430</v>
      </c>
      <c r="J54" s="79" t="s">
        <v>371</v>
      </c>
      <c r="K54" s="80">
        <f>Check3</f>
        <v>0</v>
      </c>
      <c r="L54" s="80">
        <v>1</v>
      </c>
      <c r="M54" s="80">
        <f>K54-L54</f>
        <v>-1</v>
      </c>
      <c r="N54" s="80">
        <v>0</v>
      </c>
      <c r="O54" s="80">
        <v>0</v>
      </c>
      <c r="P54" s="80">
        <v>0</v>
      </c>
      <c r="Q54" s="80">
        <v>0</v>
      </c>
      <c r="R54" s="80" t="str">
        <f>IF(AND(M54&gt;=N54,M54&lt;=Q54),"G","R")</f>
        <v>R</v>
      </c>
      <c r="S54" s="81" t="str">
        <f>IF(Setup_Run="Run",IF(R54="R","The Loop Count Must Pass Visual Inspection.",""),"")</f>
        <v>The Loop Count Must Pass Visual Inspection.</v>
      </c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</row>
    <row r="55" spans="1:54" x14ac:dyDescent="0.2">
      <c r="A55" s="3" t="s">
        <v>86</v>
      </c>
      <c r="B55" s="3" t="s">
        <v>97</v>
      </c>
      <c r="C55" s="14"/>
      <c r="D55" s="45"/>
      <c r="E55" s="45"/>
      <c r="F55" s="45"/>
      <c r="G55" s="45"/>
      <c r="H55" s="129"/>
      <c r="I55" s="46" t="s">
        <v>408</v>
      </c>
      <c r="J55" s="3" t="s">
        <v>409</v>
      </c>
      <c r="K55" s="2">
        <f>Check2</f>
        <v>1</v>
      </c>
      <c r="L55" s="2">
        <v>1</v>
      </c>
      <c r="M55" s="2">
        <f>K55-L55</f>
        <v>0</v>
      </c>
      <c r="N55" s="2">
        <v>0</v>
      </c>
      <c r="O55" s="2">
        <v>0</v>
      </c>
      <c r="P55" s="2">
        <v>0</v>
      </c>
      <c r="Q55" s="2">
        <v>0</v>
      </c>
      <c r="R55" s="2" t="str">
        <f>IF(AND(M55&gt;=N55,M55&lt;=Q55),"G","R")</f>
        <v>G</v>
      </c>
      <c r="S55" s="66" t="str">
        <f>IF(R55="R","The Spiral Must Pass All Other Inspections.","")</f>
        <v/>
      </c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</row>
    <row r="56" spans="1:54" x14ac:dyDescent="0.2">
      <c r="A56" s="3" t="s">
        <v>87</v>
      </c>
      <c r="B56" s="3" t="s">
        <v>98</v>
      </c>
      <c r="C56" s="14"/>
      <c r="D56" s="45"/>
      <c r="E56" s="45"/>
      <c r="F56" s="45"/>
      <c r="G56" s="45"/>
      <c r="H56" s="129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</row>
    <row r="57" spans="1:54" x14ac:dyDescent="0.2">
      <c r="A57" s="3" t="s">
        <v>88</v>
      </c>
      <c r="B57" s="3" t="s">
        <v>99</v>
      </c>
      <c r="C57" s="14"/>
      <c r="D57" s="45"/>
      <c r="E57" s="45"/>
      <c r="F57" s="45"/>
      <c r="G57" s="45"/>
      <c r="H57" s="129"/>
      <c r="I57" s="11" t="s">
        <v>495</v>
      </c>
      <c r="J57" s="101" t="e">
        <f>CONCATENATE(S51,S52,S53,S54,S55)</f>
        <v>#VALUE!</v>
      </c>
      <c r="K57" s="101"/>
      <c r="L57" s="101"/>
      <c r="M57" s="101"/>
      <c r="N57" s="101"/>
      <c r="O57" s="101"/>
      <c r="P57" s="101"/>
      <c r="Q57" s="101"/>
      <c r="R57" s="101"/>
      <c r="S57" s="101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</row>
    <row r="58" spans="1:54" x14ac:dyDescent="0.2">
      <c r="A58" s="3" t="s">
        <v>89</v>
      </c>
      <c r="B58" s="3" t="s">
        <v>100</v>
      </c>
      <c r="C58" s="14"/>
      <c r="D58" s="45"/>
      <c r="E58" s="45"/>
      <c r="F58" s="45"/>
      <c r="G58" s="45"/>
      <c r="H58" s="129"/>
      <c r="I58" s="11" t="s">
        <v>360</v>
      </c>
      <c r="J58" s="12" t="e">
        <f>VLOOKUP(LPartNum,Woven_Spiral_Table[],HLOOKUP($I58,Woven_Spiral_Table[#All],2,FALSE),FALSE)</f>
        <v>#N/A</v>
      </c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</row>
    <row r="59" spans="1:54" x14ac:dyDescent="0.2">
      <c r="A59" s="33" t="s">
        <v>101</v>
      </c>
      <c r="B59" s="3" t="s">
        <v>302</v>
      </c>
      <c r="C59" s="14">
        <v>1</v>
      </c>
      <c r="D59" s="45"/>
      <c r="E59" s="45"/>
      <c r="F59" s="45"/>
      <c r="G59" s="45"/>
      <c r="H59" s="129"/>
      <c r="I59" s="11" t="s">
        <v>361</v>
      </c>
      <c r="J59" s="12" t="e">
        <f>VLOOKUP(LPartNum,Woven_Spiral_Table[],HLOOKUP($I59,Woven_Spiral_Table[#All],2,FALSE),FALSE)</f>
        <v>#N/A</v>
      </c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</row>
    <row r="60" spans="1:54" x14ac:dyDescent="0.2">
      <c r="A60" s="3" t="s">
        <v>102</v>
      </c>
      <c r="B60" s="3" t="s">
        <v>303</v>
      </c>
      <c r="C60" s="14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</row>
    <row r="61" spans="1:54" ht="15" customHeight="1" x14ac:dyDescent="0.25">
      <c r="A61" s="33" t="s">
        <v>103</v>
      </c>
      <c r="B61" s="3" t="s">
        <v>304</v>
      </c>
      <c r="C61" s="14"/>
      <c r="D61" s="45"/>
      <c r="E61" s="45"/>
      <c r="F61" s="45"/>
      <c r="G61" s="45"/>
      <c r="H61" s="125" t="s">
        <v>432</v>
      </c>
      <c r="I61" s="133" t="s">
        <v>431</v>
      </c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</row>
    <row r="62" spans="1:54" ht="60" x14ac:dyDescent="0.2">
      <c r="A62" s="3" t="s">
        <v>104</v>
      </c>
      <c r="B62" s="3" t="s">
        <v>305</v>
      </c>
      <c r="C62" s="14"/>
      <c r="D62" s="45"/>
      <c r="E62" s="45"/>
      <c r="F62" s="45"/>
      <c r="G62" s="45"/>
      <c r="H62" s="125"/>
      <c r="I62" s="18" t="s">
        <v>147</v>
      </c>
      <c r="J62" s="2" t="s">
        <v>171</v>
      </c>
      <c r="K62" s="5" t="s">
        <v>16</v>
      </c>
      <c r="L62" s="5" t="s">
        <v>169</v>
      </c>
      <c r="M62" s="5" t="s">
        <v>162</v>
      </c>
      <c r="N62" s="5" t="s">
        <v>279</v>
      </c>
      <c r="O62" s="68" t="s">
        <v>347</v>
      </c>
      <c r="P62" s="68" t="s">
        <v>348</v>
      </c>
      <c r="Q62" s="68" t="s">
        <v>280</v>
      </c>
      <c r="R62" s="68" t="s">
        <v>157</v>
      </c>
      <c r="S62" s="13" t="s">
        <v>170</v>
      </c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</row>
    <row r="63" spans="1:54" x14ac:dyDescent="0.2">
      <c r="A63" s="33" t="s">
        <v>105</v>
      </c>
      <c r="B63" s="3" t="s">
        <v>306</v>
      </c>
      <c r="C63" s="14"/>
      <c r="D63" s="45"/>
      <c r="E63" s="45"/>
      <c r="F63" s="45"/>
      <c r="G63" s="45"/>
      <c r="H63" s="125"/>
      <c r="I63" s="46" t="s">
        <v>433</v>
      </c>
      <c r="J63" s="3" t="s">
        <v>433</v>
      </c>
      <c r="K63" s="2">
        <f>Data2</f>
        <v>0.435</v>
      </c>
      <c r="L63" s="2">
        <f>Crimp_Depth</f>
        <v>0</v>
      </c>
      <c r="M63" s="2">
        <f>K63-L63</f>
        <v>0.435</v>
      </c>
      <c r="N63" s="2">
        <f>VLOOKUP(LPartNum,Crimp_Table[],HLOOKUP(CONCATENATE($I63," ",Setup_Run," ",N$50),Crimp_Table[#All],2,FALSE),FALSE)</f>
        <v>-2E-3</v>
      </c>
      <c r="O63" s="2">
        <f>VLOOKUP(LPartNum,Crimp_Table[],HLOOKUP(CONCATENATE($I63," ",Setup_Run," ",O$50),Crimp_Table[#All],2,FALSE),FALSE)</f>
        <v>-2E-3</v>
      </c>
      <c r="P63" s="2">
        <f>VLOOKUP(LPartNum,Crimp_Table[],HLOOKUP(CONCATENATE($I63," ",Setup_Run," ",P$50),Crimp_Table[#All],2,FALSE),FALSE)</f>
        <v>2E-3</v>
      </c>
      <c r="Q63" s="2">
        <f>VLOOKUP(LPartNum,Crimp_Table[],HLOOKUP(CONCATENATE($I63," ",Setup_Run," ",Q$50),Crimp_Table[#All],2,FALSE),FALSE)</f>
        <v>2E-3</v>
      </c>
      <c r="R63" s="2" t="str">
        <f>IF(M63&gt;=O63,IF(M63&lt;=P63,"G",IF(M63&gt;Q63,"RH","YH")),IF(M63&lt;N63,"RL","YL"))</f>
        <v>RH</v>
      </c>
      <c r="S63" s="66" t="str">
        <f>IF(R63="RL",CONCATENATE(" The ",J63," is Below the Minimum Tolerance (Target: ",L63," inches)?",""),IF(R63="RH",CONCATENATE(" The ",J63," is Above the Maximum Tolerance (Target: ",L63," inches)?",""),""))</f>
        <v xml:space="preserve"> The Crimp Depth is Above the Maximum Tolerance (Target: 0 inches)?</v>
      </c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</row>
    <row r="64" spans="1:54" x14ac:dyDescent="0.2">
      <c r="A64" s="3" t="s">
        <v>106</v>
      </c>
      <c r="B64" s="3" t="s">
        <v>307</v>
      </c>
      <c r="C64" s="14"/>
      <c r="D64" s="45"/>
      <c r="E64" s="45"/>
      <c r="F64" s="45"/>
      <c r="G64" s="45"/>
      <c r="H64" s="125"/>
      <c r="I64" s="46" t="s">
        <v>434</v>
      </c>
      <c r="J64" s="3" t="s">
        <v>435</v>
      </c>
      <c r="K64" s="2">
        <f>Data3</f>
        <v>147</v>
      </c>
      <c r="L64" s="2">
        <f>Belt_Width+1.5</f>
        <v>1.5</v>
      </c>
      <c r="M64" s="2">
        <f>K64-L64</f>
        <v>145.5</v>
      </c>
      <c r="N64" s="2">
        <f>VLOOKUP(LPartNum,Crimp_Table[],HLOOKUP(CONCATENATE($I64," ",Setup_Run," ",N$50),Crimp_Table[#All],2,FALSE),FALSE)</f>
        <v>-0.375</v>
      </c>
      <c r="O64" s="2">
        <f>VLOOKUP(LPartNum,Crimp_Table[],HLOOKUP(CONCATENATE($I64," ",Setup_Run," ",O$50),Crimp_Table[#All],2,FALSE),FALSE)</f>
        <v>-0.25</v>
      </c>
      <c r="P64" s="2">
        <f>VLOOKUP(LPartNum,Crimp_Table[],HLOOKUP(CONCATENATE($I64," ",Setup_Run," ",P$50),Crimp_Table[#All],2,FALSE),FALSE)</f>
        <v>0.25</v>
      </c>
      <c r="Q64" s="2">
        <f>VLOOKUP(LPartNum,Crimp_Table[],HLOOKUP(CONCATENATE($I64," ",Setup_Run," ",Q$50),Crimp_Table[#All],2,FALSE),FALSE)</f>
        <v>1.5</v>
      </c>
      <c r="R64" s="2" t="str">
        <f>IF(M64&gt;=O64,IF(M64&lt;=P64,"G",IF(M64&gt;Q64,"RH","YH")),IF(M64&lt;N64,"RL","YL"))</f>
        <v>RH</v>
      </c>
      <c r="S64" s="66" t="str">
        <f>IF(R64="RL",CONCATENATE(" The ",J64," is Below the Minimum Tolerance (Target: ",L64," inches)?",""),IF(R64="RH",CONCATENATE(" The ",J64," is Above the Maximum Tolerance (Target: ",L64," inches)?",""),""))</f>
        <v xml:space="preserve"> The Nomindal Width is Above the Maximum Tolerance (Target: 1.5 inches)?</v>
      </c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</row>
    <row r="65" spans="1:54" x14ac:dyDescent="0.2">
      <c r="A65" s="33" t="s">
        <v>107</v>
      </c>
      <c r="B65" s="3" t="s">
        <v>308</v>
      </c>
      <c r="C65" s="14"/>
      <c r="D65" s="45"/>
      <c r="E65" s="45"/>
      <c r="F65" s="45"/>
      <c r="G65" s="45"/>
      <c r="H65" s="125"/>
      <c r="I65" s="46" t="s">
        <v>436</v>
      </c>
      <c r="J65" s="3" t="s">
        <v>436</v>
      </c>
      <c r="K65" s="2">
        <f>Check3</f>
        <v>0</v>
      </c>
      <c r="L65" s="2">
        <v>1</v>
      </c>
      <c r="M65" s="2">
        <f>K65-L65</f>
        <v>-1</v>
      </c>
      <c r="N65" s="2">
        <v>0</v>
      </c>
      <c r="O65" s="2">
        <v>0</v>
      </c>
      <c r="P65" s="2">
        <v>0</v>
      </c>
      <c r="Q65" s="2">
        <v>0</v>
      </c>
      <c r="R65" s="2" t="str">
        <f>IF(AND(M65&gt;=N65,M65&lt;=Q65),"G","R")</f>
        <v>R</v>
      </c>
      <c r="S65" s="66" t="str">
        <f>IF(R65="R","The Flatness Must Pass Inspection.","")</f>
        <v>The Flatness Must Pass Inspection.</v>
      </c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</row>
    <row r="66" spans="1:54" x14ac:dyDescent="0.2">
      <c r="A66" s="3" t="s">
        <v>108</v>
      </c>
      <c r="B66" s="3" t="s">
        <v>309</v>
      </c>
      <c r="C66" s="14"/>
      <c r="D66" s="45"/>
      <c r="E66" s="45"/>
      <c r="F66" s="45"/>
      <c r="G66" s="45"/>
      <c r="H66" s="125"/>
      <c r="I66" s="46" t="s">
        <v>408</v>
      </c>
      <c r="J66" s="3" t="s">
        <v>409</v>
      </c>
      <c r="K66" s="2">
        <f>Check2</f>
        <v>1</v>
      </c>
      <c r="L66" s="2">
        <v>1</v>
      </c>
      <c r="M66" s="2">
        <f>K66-L66</f>
        <v>0</v>
      </c>
      <c r="N66" s="2">
        <v>0</v>
      </c>
      <c r="O66" s="2">
        <v>0</v>
      </c>
      <c r="P66" s="2">
        <v>0</v>
      </c>
      <c r="Q66" s="2">
        <v>0</v>
      </c>
      <c r="R66" s="2" t="str">
        <f>IF(AND(M66&gt;=N66,M66&lt;=Q66),"G","R")</f>
        <v>G</v>
      </c>
      <c r="S66" s="66" t="str">
        <f>IF(R66="R","The Spiral Must Pass All Other Inspections.","")</f>
        <v/>
      </c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</row>
    <row r="67" spans="1:54" x14ac:dyDescent="0.2">
      <c r="A67" s="33" t="s">
        <v>109</v>
      </c>
      <c r="B67" s="3" t="s">
        <v>120</v>
      </c>
      <c r="C67" s="14"/>
      <c r="D67" s="45"/>
      <c r="E67" s="45"/>
      <c r="F67" s="45"/>
      <c r="G67" s="45"/>
      <c r="H67" s="12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  <c r="BA67" s="45"/>
      <c r="BB67" s="45"/>
    </row>
    <row r="68" spans="1:54" x14ac:dyDescent="0.2">
      <c r="A68" s="3" t="s">
        <v>110</v>
      </c>
      <c r="B68" s="3" t="s">
        <v>121</v>
      </c>
      <c r="C68" s="14"/>
      <c r="D68" s="45"/>
      <c r="E68" s="45"/>
      <c r="F68" s="45"/>
      <c r="G68" s="45"/>
      <c r="H68" s="125"/>
      <c r="I68" s="11" t="s">
        <v>495</v>
      </c>
      <c r="J68" s="101" t="str">
        <f>CONCATENATE(S63,S64,S65,S66)</f>
        <v xml:space="preserve"> The Crimp Depth is Above the Maximum Tolerance (Target: 0 inches)? The Nomindal Width is Above the Maximum Tolerance (Target: 1.5 inches)?The Flatness Must Pass Inspection.</v>
      </c>
      <c r="K68" s="101"/>
      <c r="L68" s="101"/>
      <c r="M68" s="101"/>
      <c r="N68" s="101"/>
      <c r="O68" s="101"/>
      <c r="P68" s="101"/>
      <c r="Q68" s="101"/>
      <c r="R68" s="101"/>
      <c r="S68" s="101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</row>
    <row r="69" spans="1:54" x14ac:dyDescent="0.2">
      <c r="A69" s="33" t="s">
        <v>111</v>
      </c>
      <c r="B69" s="3" t="s">
        <v>122</v>
      </c>
      <c r="C69" s="14"/>
      <c r="D69" s="45"/>
      <c r="E69" s="45"/>
      <c r="F69" s="45"/>
      <c r="G69" s="45"/>
      <c r="H69" s="125"/>
      <c r="I69" s="11" t="s">
        <v>360</v>
      </c>
      <c r="J69" s="12" t="str">
        <f>VLOOKUP(LPartNum,Crimp_Table[],HLOOKUP($I69,Crimp_Table[#All],2,FALSE),FALSE)</f>
        <v>EJWI-051A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</row>
    <row r="70" spans="1:54" x14ac:dyDescent="0.2">
      <c r="A70" s="3" t="s">
        <v>112</v>
      </c>
      <c r="B70" s="3" t="s">
        <v>123</v>
      </c>
      <c r="C70" s="14"/>
      <c r="D70" s="45"/>
      <c r="E70" s="45"/>
      <c r="F70" s="45"/>
      <c r="G70" s="45"/>
      <c r="H70" s="125"/>
      <c r="I70" s="11" t="s">
        <v>361</v>
      </c>
      <c r="J70" s="12" t="str">
        <f>VLOOKUP(LPartNum,Crimp_Table[],HLOOKUP($I70,Crimp_Table[#All],2,FALSE),FALSE)</f>
        <v>WV-PC-0019B</v>
      </c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</row>
    <row r="71" spans="1:54" x14ac:dyDescent="0.2">
      <c r="A71" s="33" t="s">
        <v>113</v>
      </c>
      <c r="B71" s="3" t="s">
        <v>124</v>
      </c>
      <c r="C71" s="14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</row>
    <row r="72" spans="1:54" ht="15" customHeight="1" x14ac:dyDescent="0.25">
      <c r="A72" s="3" t="s">
        <v>114</v>
      </c>
      <c r="B72" s="3" t="s">
        <v>125</v>
      </c>
      <c r="C72" s="14"/>
      <c r="D72" s="45"/>
      <c r="E72" s="45"/>
      <c r="F72" s="45"/>
      <c r="G72" s="45"/>
      <c r="H72" s="132" t="s">
        <v>469</v>
      </c>
      <c r="I72" s="130" t="s">
        <v>468</v>
      </c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</row>
    <row r="73" spans="1:54" ht="60" x14ac:dyDescent="0.2">
      <c r="A73" s="33" t="s">
        <v>115</v>
      </c>
      <c r="B73" s="3" t="s">
        <v>126</v>
      </c>
      <c r="C73" s="14"/>
      <c r="D73" s="45"/>
      <c r="E73" s="45"/>
      <c r="F73" s="45"/>
      <c r="G73" s="45"/>
      <c r="H73" s="132"/>
      <c r="I73" s="18" t="s">
        <v>147</v>
      </c>
      <c r="J73" s="2" t="s">
        <v>171</v>
      </c>
      <c r="K73" s="5" t="s">
        <v>16</v>
      </c>
      <c r="L73" s="5" t="s">
        <v>169</v>
      </c>
      <c r="M73" s="5" t="s">
        <v>162</v>
      </c>
      <c r="N73" s="5" t="s">
        <v>279</v>
      </c>
      <c r="O73" s="68" t="s">
        <v>347</v>
      </c>
      <c r="P73" s="68" t="s">
        <v>348</v>
      </c>
      <c r="Q73" s="68" t="s">
        <v>280</v>
      </c>
      <c r="R73" s="68" t="s">
        <v>157</v>
      </c>
      <c r="S73" s="13" t="s">
        <v>170</v>
      </c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</row>
    <row r="74" spans="1:54" x14ac:dyDescent="0.2">
      <c r="A74" s="3" t="s">
        <v>116</v>
      </c>
      <c r="B74" s="3" t="s">
        <v>127</v>
      </c>
      <c r="C74" s="14"/>
      <c r="D74" s="45"/>
      <c r="E74" s="45"/>
      <c r="F74" s="45"/>
      <c r="G74" s="45"/>
      <c r="H74" s="132"/>
      <c r="I74" s="11" t="s">
        <v>470</v>
      </c>
      <c r="J74" s="1" t="s">
        <v>475</v>
      </c>
      <c r="K74" s="2">
        <f>Data1</f>
        <v>0.23499999999999999</v>
      </c>
      <c r="L74" s="2">
        <v>4.8000000000000001E-2</v>
      </c>
      <c r="M74" s="2">
        <f t="shared" ref="M74:M79" si="3">K74-L74</f>
        <v>0.187</v>
      </c>
      <c r="N74" s="2" t="e">
        <f>VLOOKUP(LPartNum,CB5_Weave_Table[],HLOOKUP(CONCATENATE($I74," ",Setup_Run," ",N$73),CB5_Weave_Table[#All],2,FALSE),FALSE)</f>
        <v>#N/A</v>
      </c>
      <c r="O74" s="2" t="e">
        <f>VLOOKUP(LPartNum,CB5_Weave_Table[],HLOOKUP(CONCATENATE($I74," ",Setup_Run," ",O$73),CB5_Weave_Table[#All],2,FALSE),FALSE)</f>
        <v>#N/A</v>
      </c>
      <c r="P74" s="2" t="e">
        <f>VLOOKUP(LPartNum,CB5_Weave_Table[],HLOOKUP(CONCATENATE($I74," ",Setup_Run," ",P$73),CB5_Weave_Table[#All],2,FALSE),FALSE)</f>
        <v>#N/A</v>
      </c>
      <c r="Q74" s="2" t="e">
        <f>VLOOKUP(LPartNum,CB5_Weave_Table[],HLOOKUP(CONCATENATE($I74," ",Setup_Run," ",Q$73),CB5_Weave_Table[#All],2,FALSE),FALSE)</f>
        <v>#N/A</v>
      </c>
      <c r="R74" s="2" t="e">
        <f>IF(M74&gt;=O74,IF(M74&lt;=P74,"G",IF(M74&gt;Q74,"RH","YH")),IF(M74&lt;N74,"RL","YL"))</f>
        <v>#N/A</v>
      </c>
      <c r="S74" s="66" t="e">
        <f>IF(R74="RL",CONCATENATE(" The ",J74," is Below the Minimum Tolerance (Target: ",L74," inches)?",""),IF(R74="RH",CONCATENATE(" The ",J74," is Above the Maximum Tolerance (Target: ",L74," inches)?",""),""))</f>
        <v>#N/A</v>
      </c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</row>
    <row r="75" spans="1:54" x14ac:dyDescent="0.2">
      <c r="A75" s="33" t="s">
        <v>117</v>
      </c>
      <c r="B75" s="3" t="s">
        <v>128</v>
      </c>
      <c r="C75" s="14"/>
      <c r="D75" s="45"/>
      <c r="E75" s="45"/>
      <c r="F75" s="45"/>
      <c r="G75" s="45"/>
      <c r="H75" s="132"/>
      <c r="I75" s="46" t="s">
        <v>471</v>
      </c>
      <c r="J75" s="3" t="s">
        <v>471</v>
      </c>
      <c r="K75" s="2">
        <f>Data2</f>
        <v>0.435</v>
      </c>
      <c r="L75" s="2">
        <v>0.215</v>
      </c>
      <c r="M75" s="2">
        <f t="shared" si="3"/>
        <v>0.22</v>
      </c>
      <c r="N75" s="2" t="e">
        <f>VLOOKUP(LPartNum,CB5_Weave_Table[],HLOOKUP(CONCATENATE($I75," ",Setup_Run," ",N$73),CB5_Weave_Table[#All],2,FALSE),FALSE)</f>
        <v>#N/A</v>
      </c>
      <c r="O75" s="2" t="e">
        <f>VLOOKUP(LPartNum,CB5_Weave_Table[],HLOOKUP(CONCATENATE($I75," ",Setup_Run," ",O$73),CB5_Weave_Table[#All],2,FALSE),FALSE)</f>
        <v>#N/A</v>
      </c>
      <c r="P75" s="2" t="e">
        <f>VLOOKUP(LPartNum,CB5_Weave_Table[],HLOOKUP(CONCATENATE($I75," ",Setup_Run," ",P$73),CB5_Weave_Table[#All],2,FALSE),FALSE)</f>
        <v>#N/A</v>
      </c>
      <c r="Q75" s="2" t="e">
        <f>VLOOKUP(LPartNum,CB5_Weave_Table[],HLOOKUP(CONCATENATE($I75," ",Setup_Run," ",Q$73),CB5_Weave_Table[#All],2,FALSE),FALSE)</f>
        <v>#N/A</v>
      </c>
      <c r="R75" s="2" t="e">
        <f>IF(M75&gt;=O75,IF(M75&lt;=P75,"G",IF(M75&gt;Q75,"RH","YH")),IF(M75&lt;N75,"RL","YL"))</f>
        <v>#N/A</v>
      </c>
      <c r="S75" s="66" t="e">
        <f>IF(R75="RL",CONCATENATE(" The ",J75," is Below the Minimum Tolerance (Target: ",L75," inches)?",""),IF(R75="RH",CONCATENATE(" The ",J75," is Above the Maximum Tolerance (Target: ",L75," inches)?",""),""))</f>
        <v>#N/A</v>
      </c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</row>
    <row r="76" spans="1:54" x14ac:dyDescent="0.2">
      <c r="A76" s="3" t="s">
        <v>118</v>
      </c>
      <c r="B76" s="3" t="s">
        <v>129</v>
      </c>
      <c r="C76" s="14"/>
      <c r="D76" s="45"/>
      <c r="E76" s="45"/>
      <c r="F76" s="45"/>
      <c r="G76" s="45"/>
      <c r="H76" s="132"/>
      <c r="I76" s="46" t="s">
        <v>472</v>
      </c>
      <c r="J76" s="3" t="s">
        <v>472</v>
      </c>
      <c r="K76" s="2">
        <f>Data3</f>
        <v>147</v>
      </c>
      <c r="L76" s="2">
        <v>0.86499999999999999</v>
      </c>
      <c r="M76" s="2">
        <f t="shared" si="3"/>
        <v>146.13499999999999</v>
      </c>
      <c r="N76" s="2" t="e">
        <f>VLOOKUP(LPartNum,CB5_Weave_Table[],HLOOKUP(CONCATENATE($I76," ",Setup_Run," ",N$73),CB5_Weave_Table[#All],2,FALSE),FALSE)</f>
        <v>#N/A</v>
      </c>
      <c r="O76" s="2" t="e">
        <f>VLOOKUP(LPartNum,CB5_Weave_Table[],HLOOKUP(CONCATENATE($I76," ",Setup_Run," ",O$73),CB5_Weave_Table[#All],2,FALSE),FALSE)</f>
        <v>#N/A</v>
      </c>
      <c r="P76" s="2" t="e">
        <f>VLOOKUP(LPartNum,CB5_Weave_Table[],HLOOKUP(CONCATENATE($I76," ",Setup_Run," ",P$73),CB5_Weave_Table[#All],2,FALSE),FALSE)</f>
        <v>#N/A</v>
      </c>
      <c r="Q76" s="2" t="e">
        <f>VLOOKUP(LPartNum,CB5_Weave_Table[],HLOOKUP(CONCATENATE($I76," ",Setup_Run," ",Q$73),CB5_Weave_Table[#All],2,FALSE),FALSE)</f>
        <v>#N/A</v>
      </c>
      <c r="R76" s="2" t="e">
        <f>IF(M76&gt;=O76,IF(M76&lt;=P76,"G",IF(M76&gt;Q76,"RH","YH")),IF(M76&lt;N76,"RL","YL"))</f>
        <v>#N/A</v>
      </c>
      <c r="S76" s="66" t="e">
        <f>IF(R76="RL",CONCATENATE(" The ",J76," is Below the Minimum Tolerance (Target: ",L76," inches)?",""),IF(R76="RH",CONCATENATE(" The ",J76," is Above the Maximum Tolerance (Target: ",L76," inches)?",""),""))</f>
        <v>#N/A</v>
      </c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</row>
    <row r="77" spans="1:54" x14ac:dyDescent="0.2">
      <c r="A77" s="3" t="s">
        <v>119</v>
      </c>
      <c r="B77" s="3" t="s">
        <v>310</v>
      </c>
      <c r="C77" s="14"/>
      <c r="D77" s="45"/>
      <c r="E77" s="45"/>
      <c r="F77" s="45"/>
      <c r="G77" s="45"/>
      <c r="H77" s="132"/>
      <c r="I77" s="46" t="s">
        <v>473</v>
      </c>
      <c r="J77" s="3" t="s">
        <v>473</v>
      </c>
      <c r="K77" s="2">
        <f>Data4</f>
        <v>0</v>
      </c>
      <c r="L77" s="2">
        <v>11.9688</v>
      </c>
      <c r="M77" s="2">
        <f t="shared" si="3"/>
        <v>-11.9688</v>
      </c>
      <c r="N77" s="2" t="e">
        <f>VLOOKUP(LPartNum,CB5_Weave_Table[],HLOOKUP(CONCATENATE($I77," ",Setup_Run," ",N$73),CB5_Weave_Table[#All],2,FALSE),FALSE)</f>
        <v>#N/A</v>
      </c>
      <c r="O77" s="2" t="e">
        <f>VLOOKUP(LPartNum,CB5_Weave_Table[],HLOOKUP(CONCATENATE($I77," ",Setup_Run," ",O$73),CB5_Weave_Table[#All],2,FALSE),FALSE)</f>
        <v>#N/A</v>
      </c>
      <c r="P77" s="2" t="e">
        <f>VLOOKUP(LPartNum,CB5_Weave_Table[],HLOOKUP(CONCATENATE($I77," ",Setup_Run," ",P$73),CB5_Weave_Table[#All],2,FALSE),FALSE)</f>
        <v>#N/A</v>
      </c>
      <c r="Q77" s="2" t="e">
        <f>VLOOKUP(LPartNum,CB5_Weave_Table[],HLOOKUP(CONCATENATE($I77," ",Setup_Run," ",Q$73),CB5_Weave_Table[#All],2,FALSE),FALSE)</f>
        <v>#N/A</v>
      </c>
      <c r="R77" s="2" t="e">
        <f>IF(M77&gt;=O77,IF(M77&lt;=P77,"G",IF(M77&gt;Q77,"RH","YH")),IF(M77&lt;N77,"RL","YL"))</f>
        <v>#N/A</v>
      </c>
      <c r="S77" s="66" t="e">
        <f>IF(R77="RL",CONCATENATE(" The ",J77," is Below the Minimum Tolerance (Target: ",L77," inches)?",""),IF(R77="RH",CONCATENATE(" The ",J77," is Above the Maximum Tolerance (Target: ",L77," inches)?",""),""))</f>
        <v>#N/A</v>
      </c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</row>
    <row r="78" spans="1:54" x14ac:dyDescent="0.2">
      <c r="A78" s="45"/>
      <c r="B78" s="45"/>
      <c r="C78" s="45"/>
      <c r="D78" s="45"/>
      <c r="E78" s="45"/>
      <c r="F78" s="45"/>
      <c r="G78" s="45"/>
      <c r="H78" s="132"/>
      <c r="I78" s="46" t="s">
        <v>174</v>
      </c>
      <c r="J78" s="3" t="s">
        <v>174</v>
      </c>
      <c r="K78" s="2">
        <f>Check2</f>
        <v>1</v>
      </c>
      <c r="L78" s="2">
        <v>1</v>
      </c>
      <c r="M78" s="2">
        <f t="shared" si="3"/>
        <v>0</v>
      </c>
      <c r="N78" s="2">
        <v>0</v>
      </c>
      <c r="O78" s="2">
        <v>0</v>
      </c>
      <c r="P78" s="2">
        <v>0</v>
      </c>
      <c r="Q78" s="2">
        <v>0</v>
      </c>
      <c r="R78" s="2" t="str">
        <f>IF(AND(M78&gt;=N78,M78&lt;=Q78),"G","R")</f>
        <v>G</v>
      </c>
      <c r="S78" s="66" t="str">
        <f>IF(AND(Setup_Run="Run",R65="R"),"The Fabric Width Must Pass Inspection.","")</f>
        <v>The Fabric Width Must Pass Inspection.</v>
      </c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</row>
    <row r="79" spans="1:54" x14ac:dyDescent="0.2">
      <c r="A79" s="45"/>
      <c r="B79" s="45"/>
      <c r="C79" s="45"/>
      <c r="D79" s="45"/>
      <c r="E79" s="45"/>
      <c r="F79" s="45"/>
      <c r="G79" s="45"/>
      <c r="H79" s="132"/>
      <c r="I79" s="46" t="s">
        <v>474</v>
      </c>
      <c r="J79" s="3" t="s">
        <v>474</v>
      </c>
      <c r="K79" s="2">
        <f>Check3</f>
        <v>0</v>
      </c>
      <c r="L79" s="2">
        <v>1</v>
      </c>
      <c r="M79" s="2">
        <f t="shared" si="3"/>
        <v>-1</v>
      </c>
      <c r="N79" s="2">
        <v>0</v>
      </c>
      <c r="O79" s="2">
        <v>0</v>
      </c>
      <c r="P79" s="2">
        <v>0</v>
      </c>
      <c r="Q79" s="2">
        <v>0</v>
      </c>
      <c r="R79" s="2" t="str">
        <f>IF(AND(M79&gt;=N79,M79&lt;=Q79),"G","R")</f>
        <v>R</v>
      </c>
      <c r="S79" s="66" t="str">
        <f>IF(AND(Setup_Run="Run",R66="R"),"The Spiral Roll Must Pass Visual Inspection","")</f>
        <v/>
      </c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</row>
    <row r="80" spans="1:54" x14ac:dyDescent="0.2">
      <c r="A80" s="45"/>
      <c r="B80" s="45"/>
      <c r="C80" s="45"/>
      <c r="D80" s="45"/>
      <c r="E80" s="45"/>
      <c r="F80" s="45"/>
      <c r="G80" s="45"/>
      <c r="H80" s="132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45"/>
      <c r="BB80" s="45"/>
    </row>
    <row r="81" spans="1:54" x14ac:dyDescent="0.2">
      <c r="A81" s="45"/>
      <c r="B81" s="45"/>
      <c r="C81" s="45"/>
      <c r="D81" s="45"/>
      <c r="E81" s="45"/>
      <c r="F81" s="45"/>
      <c r="G81" s="45"/>
      <c r="H81" s="132"/>
      <c r="I81" s="11" t="s">
        <v>495</v>
      </c>
      <c r="J81" s="101" t="e">
        <f>CONCATENATE(S74,S75,S76,S77,S78,S79)</f>
        <v>#N/A</v>
      </c>
      <c r="K81" s="101"/>
      <c r="L81" s="101"/>
      <c r="M81" s="101"/>
      <c r="N81" s="101"/>
      <c r="O81" s="101"/>
      <c r="P81" s="101"/>
      <c r="Q81" s="101"/>
      <c r="R81" s="101"/>
      <c r="S81" s="101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  <c r="BA81" s="45"/>
      <c r="BB81" s="45"/>
    </row>
    <row r="82" spans="1:54" x14ac:dyDescent="0.2">
      <c r="A82" s="45"/>
      <c r="B82" s="45"/>
      <c r="C82" s="45"/>
      <c r="D82" s="45"/>
      <c r="E82" s="45"/>
      <c r="F82" s="45"/>
      <c r="G82" s="45"/>
      <c r="H82" s="132"/>
      <c r="I82" s="11" t="s">
        <v>360</v>
      </c>
      <c r="J82" s="12" t="e">
        <f>VLOOKUP(LPartNum,CB5_Weave_Table[],HLOOKUP($I82,CB5_Weave_Table[#All],2,FALSE),FALSE)</f>
        <v>#N/A</v>
      </c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  <c r="BA82" s="45"/>
      <c r="BB82" s="45"/>
    </row>
    <row r="83" spans="1:54" x14ac:dyDescent="0.2">
      <c r="A83" s="45"/>
      <c r="B83" s="45"/>
      <c r="C83" s="45"/>
      <c r="D83" s="45"/>
      <c r="E83" s="45"/>
      <c r="F83" s="45"/>
      <c r="G83" s="45"/>
      <c r="H83" s="132"/>
      <c r="I83" s="11" t="s">
        <v>361</v>
      </c>
      <c r="J83" s="12" t="e">
        <f>VLOOKUP(LPartNum,CB5_Weave_Table[],HLOOKUP($I83,CB5_Weave_Table[#All],2,FALSE),FALSE)</f>
        <v>#N/A</v>
      </c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  <c r="BA83" s="45"/>
      <c r="BB83" s="45"/>
    </row>
    <row r="84" spans="1:54" x14ac:dyDescent="0.2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</row>
    <row r="85" spans="1:54" ht="15" customHeight="1" x14ac:dyDescent="0.25">
      <c r="A85" s="45"/>
      <c r="B85" s="45"/>
      <c r="C85" s="45"/>
      <c r="D85" s="45"/>
      <c r="E85" s="45"/>
      <c r="F85" s="45"/>
      <c r="G85" s="45"/>
      <c r="H85" s="102" t="s">
        <v>513</v>
      </c>
      <c r="I85" s="103" t="s">
        <v>513</v>
      </c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  <c r="BA85" s="45"/>
      <c r="BB85" s="45"/>
    </row>
    <row r="86" spans="1:54" ht="60" x14ac:dyDescent="0.2">
      <c r="A86" s="45"/>
      <c r="B86" s="45"/>
      <c r="C86" s="45"/>
      <c r="D86" s="45"/>
      <c r="E86" s="45"/>
      <c r="F86" s="45"/>
      <c r="G86" s="45"/>
      <c r="H86" s="102"/>
      <c r="I86" s="18" t="s">
        <v>147</v>
      </c>
      <c r="J86" s="2" t="s">
        <v>171</v>
      </c>
      <c r="K86" s="5" t="s">
        <v>16</v>
      </c>
      <c r="L86" s="5" t="s">
        <v>169</v>
      </c>
      <c r="M86" s="5" t="s">
        <v>162</v>
      </c>
      <c r="N86" s="5" t="s">
        <v>279</v>
      </c>
      <c r="O86" s="68" t="s">
        <v>347</v>
      </c>
      <c r="P86" s="68" t="s">
        <v>348</v>
      </c>
      <c r="Q86" s="68" t="s">
        <v>280</v>
      </c>
      <c r="R86" s="68" t="s">
        <v>157</v>
      </c>
      <c r="S86" s="13" t="s">
        <v>170</v>
      </c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</row>
    <row r="87" spans="1:54" x14ac:dyDescent="0.2">
      <c r="A87" s="45"/>
      <c r="B87" s="45"/>
      <c r="C87" s="45"/>
      <c r="D87" s="45"/>
      <c r="E87" s="45"/>
      <c r="F87" s="45"/>
      <c r="G87" s="45"/>
      <c r="H87" s="102"/>
      <c r="I87" s="11" t="s">
        <v>14</v>
      </c>
      <c r="J87" s="1" t="s">
        <v>516</v>
      </c>
      <c r="K87" s="2">
        <f>Data1</f>
        <v>0.23499999999999999</v>
      </c>
      <c r="L87" s="13">
        <v>0</v>
      </c>
      <c r="M87" s="13">
        <f>K87-L87</f>
        <v>0.23499999999999999</v>
      </c>
      <c r="N87" s="13">
        <v>0</v>
      </c>
      <c r="O87" s="13">
        <v>0</v>
      </c>
      <c r="P87" s="13">
        <v>0</v>
      </c>
      <c r="Q87" s="13">
        <v>0</v>
      </c>
      <c r="R87" s="2" t="str">
        <f>IF(M87&gt;=O87,IF(M87&lt;=P87,"G",IF(M87&gt;Q87,"RH","YH")),IF(M87&lt;N87,"RL","YL"))</f>
        <v>RH</v>
      </c>
      <c r="S87" s="69" t="str">
        <f>IF(R87="RL",CONCATENATE(" The ",J87," is Below the Minimum Tolerance (Target: ",L87," inches)?",""),IF(R87="RH",CONCATENATE(" The ",J87," is Above the Maximum Tolerance (Target: ",L87," inches)?",""),""))</f>
        <v xml:space="preserve"> The Picket Bow (A) is Above the Maximum Tolerance (Target: 0 inches)?</v>
      </c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  <c r="BA87" s="45"/>
      <c r="BB87" s="45"/>
    </row>
    <row r="88" spans="1:54" x14ac:dyDescent="0.2">
      <c r="A88" s="45"/>
      <c r="B88" s="45"/>
      <c r="C88" s="45"/>
      <c r="D88" s="45"/>
      <c r="E88" s="45"/>
      <c r="F88" s="45"/>
      <c r="G88" s="45"/>
      <c r="H88" s="102"/>
      <c r="I88" s="46" t="s">
        <v>514</v>
      </c>
      <c r="J88" s="3" t="s">
        <v>517</v>
      </c>
      <c r="K88" s="2">
        <f>Data2</f>
        <v>0.435</v>
      </c>
      <c r="L88" s="13">
        <v>0</v>
      </c>
      <c r="M88" s="13">
        <f t="shared" ref="M88:M100" si="4">K88-L88</f>
        <v>0.435</v>
      </c>
      <c r="N88" s="13">
        <v>0</v>
      </c>
      <c r="O88" s="13">
        <v>0</v>
      </c>
      <c r="P88" s="13">
        <v>0.5</v>
      </c>
      <c r="Q88" s="13">
        <v>0.5</v>
      </c>
      <c r="R88" s="2" t="str">
        <f>IF(M88&gt;=O88,IF(M88&lt;=P88,"G",IF(M88&gt;Q88,"RH","YH")),IF(M88&lt;N88,"RL","YL"))</f>
        <v>G</v>
      </c>
      <c r="S88" s="69" t="str">
        <f>IF(R88="RL",CONCATENATE(" The ",J88," is Below the Minimum Tolerance (Target: ",L88," inches)?",""),IF(R88="RH",CONCATENATE(" The ",J88," is Above the Maximum Tolerance (Target: ",L88," inches)?",""),""))</f>
        <v/>
      </c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  <c r="BA88" s="45"/>
      <c r="BB88" s="45"/>
    </row>
    <row r="89" spans="1:54" x14ac:dyDescent="0.2">
      <c r="A89" s="45"/>
      <c r="B89" s="45"/>
      <c r="C89" s="45"/>
      <c r="D89" s="45"/>
      <c r="E89" s="45"/>
      <c r="F89" s="45"/>
      <c r="G89" s="45"/>
      <c r="H89" s="102"/>
      <c r="I89" s="46" t="s">
        <v>515</v>
      </c>
      <c r="J89" s="3" t="s">
        <v>519</v>
      </c>
      <c r="K89" s="2">
        <f>Data3</f>
        <v>147</v>
      </c>
      <c r="L89" s="13">
        <v>0</v>
      </c>
      <c r="M89" s="13">
        <f t="shared" si="4"/>
        <v>147</v>
      </c>
      <c r="N89" s="13" t="e">
        <f>VLOOKUP(LPartNum,Flatwire_Picket[],HLOOKUP(CONCATENATE($I89," ",Setup_Run," ",N$86),Flatwire_Picket[#All],2,FALSE),FALSE)</f>
        <v>#N/A</v>
      </c>
      <c r="O89" s="13" t="e">
        <f>VLOOKUP(LPartNum,Flatwire_Picket[],HLOOKUP(CONCATENATE($I89," ",Setup_Run," ",O$86),Flatwire_Picket[#All],2,FALSE),FALSE)</f>
        <v>#N/A</v>
      </c>
      <c r="P89" s="13" t="e">
        <f>VLOOKUP(LPartNum,Flatwire_Picket[],HLOOKUP(CONCATENATE($I89," ",Setup_Run," ",P$86),Flatwire_Picket[#All],2,FALSE),FALSE)</f>
        <v>#N/A</v>
      </c>
      <c r="Q89" s="13" t="e">
        <f>VLOOKUP(LPartNum,Flatwire_Picket[],HLOOKUP(CONCATENATE($I89," ",Setup_Run," ",Q$86),Flatwire_Picket[#All],2,FALSE),FALSE)</f>
        <v>#N/A</v>
      </c>
      <c r="R89" s="2" t="e">
        <f>IF(M89&gt;=O89,IF(M89&lt;=P89,"G",IF(M89&gt;Q89,"RH","YH")),IF(M89&lt;N89,"RL","YL"))</f>
        <v>#N/A</v>
      </c>
      <c r="S89" s="69" t="e">
        <f>IF(R89="RL",CONCATENATE(" The ",J89," is Below the Minimum Tolerance (Target: ",L89," inches)?",""),IF(R89="RH",CONCATENATE(" The ",J89," is Above the Maximum Tolerance (Target: ",L89," inches)?",""),""))</f>
        <v>#N/A</v>
      </c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  <c r="BA89" s="45"/>
      <c r="BB89" s="45"/>
    </row>
    <row r="90" spans="1:54" x14ac:dyDescent="0.2">
      <c r="A90" s="45"/>
      <c r="B90" s="45"/>
      <c r="C90" s="45"/>
      <c r="D90" s="45"/>
      <c r="E90" s="45"/>
      <c r="F90" s="45"/>
      <c r="G90" s="45"/>
      <c r="H90" s="102"/>
      <c r="I90" s="46" t="s">
        <v>518</v>
      </c>
      <c r="J90" s="3" t="s">
        <v>518</v>
      </c>
      <c r="K90" s="2">
        <f>Data4</f>
        <v>0</v>
      </c>
      <c r="L90" s="13">
        <v>43.21875</v>
      </c>
      <c r="M90" s="13">
        <f t="shared" si="4"/>
        <v>-43.21875</v>
      </c>
      <c r="N90" s="13">
        <v>-6.25E-2</v>
      </c>
      <c r="O90" s="13">
        <v>-6.25E-2</v>
      </c>
      <c r="P90" s="13">
        <v>6.25E-2</v>
      </c>
      <c r="Q90" s="13">
        <v>6.25E-2</v>
      </c>
      <c r="R90" s="2" t="str">
        <f>IF(M90&gt;=O90,IF(M90&lt;=P90,"G",IF(M90&gt;Q90,"RH","YH")),IF(M90&lt;N90,"RL","YL"))</f>
        <v>RL</v>
      </c>
      <c r="S90" s="69" t="str">
        <f>IF(R90="RL",CONCATENATE(" The ",J90," is Below the Minimum Tolerance (Target: ",L90," inches)?",""),IF(R90="RH",CONCATENATE(" The ",J90," is Above the Maximum Tolerance (Target: ",L90," inches)?",""),""))</f>
        <v xml:space="preserve"> The Free Picket Width is Below the Minimum Tolerance (Target: 43.21875 inches)?</v>
      </c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  <c r="BA90" s="45"/>
      <c r="BB90" s="45"/>
    </row>
    <row r="91" spans="1:54" x14ac:dyDescent="0.2">
      <c r="A91" s="45"/>
      <c r="B91" s="45"/>
      <c r="C91" s="45"/>
      <c r="D91" s="45"/>
      <c r="E91" s="45"/>
      <c r="F91" s="45"/>
      <c r="G91" s="45"/>
      <c r="H91" s="102"/>
      <c r="I91" s="46" t="s">
        <v>551</v>
      </c>
      <c r="J91" s="3" t="s">
        <v>551</v>
      </c>
      <c r="K91" s="2">
        <f>Data5</f>
        <v>0</v>
      </c>
      <c r="L91" s="13">
        <v>0</v>
      </c>
      <c r="M91" s="13">
        <f t="shared" si="4"/>
        <v>0</v>
      </c>
      <c r="N91" s="13">
        <v>0</v>
      </c>
      <c r="O91" s="13">
        <v>0</v>
      </c>
      <c r="P91" s="13">
        <v>0</v>
      </c>
      <c r="Q91" s="13">
        <v>0</v>
      </c>
      <c r="R91" s="2" t="str">
        <f>IF(M91&gt;=O91,IF(M91&lt;=P91,"G",IF(M91&gt;Q91,"RH","YH")),IF(M91&lt;N91,"RL","YL"))</f>
        <v>G</v>
      </c>
      <c r="S91" s="74" t="str">
        <f>IF(R91="RL",CONCATENATE(" The ",J91," is Below the Minimum Tolerance (Target: ",L91," inches)?",""),IF(R91="RH",CONCATENATE(" The ",J91," is Above the Maximum Tolerance (Target: ",L91," inches)?",""),""))</f>
        <v/>
      </c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  <c r="BA91" s="45"/>
      <c r="BB91" s="45"/>
    </row>
    <row r="92" spans="1:54" x14ac:dyDescent="0.2">
      <c r="A92" s="45"/>
      <c r="B92" s="45"/>
      <c r="C92" s="45"/>
      <c r="D92" s="45"/>
      <c r="E92" s="45"/>
      <c r="F92" s="45"/>
      <c r="G92" s="45"/>
      <c r="H92" s="102"/>
      <c r="I92" s="46" t="s">
        <v>520</v>
      </c>
      <c r="J92" s="3" t="s">
        <v>520</v>
      </c>
      <c r="K92" s="2">
        <f>Check2</f>
        <v>1</v>
      </c>
      <c r="L92" s="13">
        <v>1</v>
      </c>
      <c r="M92" s="13">
        <f t="shared" si="4"/>
        <v>0</v>
      </c>
      <c r="N92" s="13">
        <v>0</v>
      </c>
      <c r="O92" s="13">
        <v>0</v>
      </c>
      <c r="P92" s="13">
        <v>0</v>
      </c>
      <c r="Q92" s="13">
        <v>0</v>
      </c>
      <c r="R92" s="2" t="str">
        <f t="shared" ref="R92:R100" si="5">IF(AND(M92&gt;=N92,M92&lt;=Q92),"G","R")</f>
        <v>G</v>
      </c>
      <c r="S92" s="70" t="str">
        <f>IF(R92="R",CONCATENATE("The ",J92," Must Pass Inspection."),"")</f>
        <v/>
      </c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  <c r="BA92" s="45"/>
      <c r="BB92" s="45"/>
    </row>
    <row r="93" spans="1:54" x14ac:dyDescent="0.2">
      <c r="A93" s="45"/>
      <c r="B93" s="45"/>
      <c r="C93" s="45"/>
      <c r="D93" s="45"/>
      <c r="E93" s="45"/>
      <c r="F93" s="45"/>
      <c r="G93" s="45"/>
      <c r="H93" s="102"/>
      <c r="I93" s="46" t="s">
        <v>521</v>
      </c>
      <c r="J93" s="3" t="s">
        <v>521</v>
      </c>
      <c r="K93" s="2">
        <f>Check3</f>
        <v>0</v>
      </c>
      <c r="L93" s="13">
        <v>1</v>
      </c>
      <c r="M93" s="13">
        <f t="shared" si="4"/>
        <v>-1</v>
      </c>
      <c r="N93" s="13">
        <v>0</v>
      </c>
      <c r="O93" s="13">
        <v>0</v>
      </c>
      <c r="P93" s="13">
        <v>0</v>
      </c>
      <c r="Q93" s="13">
        <v>0</v>
      </c>
      <c r="R93" s="2" t="str">
        <f t="shared" si="5"/>
        <v>R</v>
      </c>
      <c r="S93" s="70" t="str">
        <f>IF(R93="R",CONCATENATE("The ",J93," Must Pass Inspection."),"")</f>
        <v>The Cut Off Angle Must Pass Inspection.</v>
      </c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</row>
    <row r="94" spans="1:54" x14ac:dyDescent="0.2">
      <c r="A94" s="45"/>
      <c r="B94" s="45"/>
      <c r="C94" s="45"/>
      <c r="D94" s="45"/>
      <c r="E94" s="45"/>
      <c r="F94" s="45"/>
      <c r="G94" s="45"/>
      <c r="H94" s="102"/>
      <c r="I94" s="46" t="s">
        <v>522</v>
      </c>
      <c r="J94" s="3" t="s">
        <v>522</v>
      </c>
      <c r="K94" s="2">
        <f>Check4</f>
        <v>0</v>
      </c>
      <c r="L94" s="2">
        <v>1</v>
      </c>
      <c r="M94" s="2">
        <f t="shared" si="4"/>
        <v>-1</v>
      </c>
      <c r="N94" s="2">
        <v>0</v>
      </c>
      <c r="O94" s="2">
        <v>0</v>
      </c>
      <c r="P94" s="2">
        <v>0</v>
      </c>
      <c r="Q94" s="2">
        <v>0</v>
      </c>
      <c r="R94" s="2" t="str">
        <f t="shared" si="5"/>
        <v>R</v>
      </c>
      <c r="S94" s="70" t="str">
        <f>IF(R94="R",CONCATENATE("The ",J94," Must Pass Inspection."),"")</f>
        <v>The Cut Off Leg Straightness Must Pass Inspection.</v>
      </c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  <c r="BA94" s="45"/>
      <c r="BB94" s="45"/>
    </row>
    <row r="95" spans="1:54" x14ac:dyDescent="0.2">
      <c r="A95" s="45"/>
      <c r="B95" s="45"/>
      <c r="C95" s="45"/>
      <c r="D95" s="45"/>
      <c r="E95" s="45"/>
      <c r="F95" s="45"/>
      <c r="G95" s="45"/>
      <c r="H95" s="102"/>
      <c r="I95" s="46" t="s">
        <v>523</v>
      </c>
      <c r="J95" s="3" t="s">
        <v>523</v>
      </c>
      <c r="K95" s="2">
        <f>Check5</f>
        <v>0</v>
      </c>
      <c r="L95" s="2">
        <v>1</v>
      </c>
      <c r="M95" s="2">
        <f t="shared" si="4"/>
        <v>-1</v>
      </c>
      <c r="N95" s="2">
        <v>0</v>
      </c>
      <c r="O95" s="2">
        <v>0</v>
      </c>
      <c r="P95" s="2">
        <v>0</v>
      </c>
      <c r="Q95" s="2">
        <v>0</v>
      </c>
      <c r="R95" s="2" t="str">
        <f t="shared" si="5"/>
        <v>R</v>
      </c>
      <c r="S95" s="70" t="str">
        <f>IF(R95="R",CONCATENATE("The ",J95," Must Pass Inspection."),"")</f>
        <v>The Male Tool Angle Must Pass Inspection.</v>
      </c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</row>
    <row r="96" spans="1:54" x14ac:dyDescent="0.2">
      <c r="A96" s="45"/>
      <c r="B96" s="45"/>
      <c r="C96" s="45"/>
      <c r="D96" s="45"/>
      <c r="E96" s="45"/>
      <c r="F96" s="45"/>
      <c r="G96" s="45"/>
      <c r="H96" s="102"/>
      <c r="I96" s="46" t="s">
        <v>527</v>
      </c>
      <c r="J96" s="3" t="s">
        <v>527</v>
      </c>
      <c r="K96" s="2">
        <f>Check6</f>
        <v>0</v>
      </c>
      <c r="L96" s="2">
        <v>0</v>
      </c>
      <c r="M96" s="2">
        <f t="shared" si="4"/>
        <v>0</v>
      </c>
      <c r="N96" s="2">
        <v>0</v>
      </c>
      <c r="O96" s="2">
        <v>0</v>
      </c>
      <c r="P96" s="2">
        <v>0</v>
      </c>
      <c r="Q96" s="2">
        <v>0</v>
      </c>
      <c r="R96" s="2" t="str">
        <f t="shared" si="5"/>
        <v>G</v>
      </c>
      <c r="S96" s="70" t="str">
        <f>IF(R96="R",CONCATENATE("No ",J96," are Allowed"),"")</f>
        <v/>
      </c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  <c r="BA96" s="45"/>
      <c r="BB96" s="45"/>
    </row>
    <row r="97" spans="1:54" x14ac:dyDescent="0.2">
      <c r="A97" s="45"/>
      <c r="B97" s="45"/>
      <c r="C97" s="45"/>
      <c r="D97" s="45"/>
      <c r="E97" s="45"/>
      <c r="F97" s="45"/>
      <c r="G97" s="45"/>
      <c r="H97" s="102"/>
      <c r="I97" s="46" t="s">
        <v>524</v>
      </c>
      <c r="J97" s="3" t="s">
        <v>524</v>
      </c>
      <c r="K97" s="2">
        <f>Check7</f>
        <v>0</v>
      </c>
      <c r="L97" s="2">
        <v>0</v>
      </c>
      <c r="M97" s="2">
        <f t="shared" si="4"/>
        <v>0</v>
      </c>
      <c r="N97" s="2">
        <v>0</v>
      </c>
      <c r="O97" s="2">
        <v>0</v>
      </c>
      <c r="P97" s="2">
        <v>0</v>
      </c>
      <c r="Q97" s="2">
        <v>0</v>
      </c>
      <c r="R97" s="2" t="str">
        <f t="shared" si="5"/>
        <v>G</v>
      </c>
      <c r="S97" s="86" t="str">
        <f>IF(R97="R",CONCATENATE("No ",J97," are Allowed"),"")</f>
        <v/>
      </c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</row>
    <row r="98" spans="1:54" x14ac:dyDescent="0.2">
      <c r="A98" s="45"/>
      <c r="B98" s="45"/>
      <c r="C98" s="45"/>
      <c r="D98" s="45"/>
      <c r="E98" s="45"/>
      <c r="F98" s="45"/>
      <c r="G98" s="45"/>
      <c r="H98" s="102"/>
      <c r="I98" s="46" t="s">
        <v>525</v>
      </c>
      <c r="J98" s="3" t="s">
        <v>525</v>
      </c>
      <c r="K98" s="2">
        <f>Check8</f>
        <v>0</v>
      </c>
      <c r="L98" s="2">
        <v>0</v>
      </c>
      <c r="M98" s="2">
        <f t="shared" si="4"/>
        <v>0</v>
      </c>
      <c r="N98" s="2">
        <v>0</v>
      </c>
      <c r="O98" s="2">
        <v>0</v>
      </c>
      <c r="P98" s="2">
        <v>0</v>
      </c>
      <c r="Q98" s="2">
        <v>0</v>
      </c>
      <c r="R98" s="2" t="str">
        <f t="shared" si="5"/>
        <v>G</v>
      </c>
      <c r="S98" s="86" t="str">
        <f>IF(R98="R",CONCATENATE("No ",J98," are Allowed"),"")</f>
        <v/>
      </c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  <c r="BA98" s="45"/>
      <c r="BB98" s="45"/>
    </row>
    <row r="99" spans="1:54" x14ac:dyDescent="0.2">
      <c r="A99" s="45"/>
      <c r="B99" s="45"/>
      <c r="C99" s="45"/>
      <c r="D99" s="45"/>
      <c r="E99" s="45"/>
      <c r="F99" s="45"/>
      <c r="G99" s="45"/>
      <c r="H99" s="102"/>
      <c r="I99" s="46" t="s">
        <v>526</v>
      </c>
      <c r="J99" s="3" t="s">
        <v>526</v>
      </c>
      <c r="K99" s="2">
        <f>Check9</f>
        <v>0</v>
      </c>
      <c r="L99" s="2">
        <v>0</v>
      </c>
      <c r="M99" s="2">
        <f t="shared" si="4"/>
        <v>0</v>
      </c>
      <c r="N99" s="2">
        <v>0</v>
      </c>
      <c r="O99" s="2">
        <v>0</v>
      </c>
      <c r="P99" s="2">
        <v>0</v>
      </c>
      <c r="Q99" s="2">
        <v>0</v>
      </c>
      <c r="R99" s="2" t="str">
        <f t="shared" si="5"/>
        <v>G</v>
      </c>
      <c r="S99" s="86" t="str">
        <f>IF(R99="R",CONCATENATE("No ",J99," are Allowed"),"")</f>
        <v/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</row>
    <row r="100" spans="1:54" x14ac:dyDescent="0.2">
      <c r="A100" s="45"/>
      <c r="B100" s="45"/>
      <c r="C100" s="45"/>
      <c r="D100" s="45"/>
      <c r="E100" s="45"/>
      <c r="F100" s="45"/>
      <c r="G100" s="45"/>
      <c r="H100" s="102"/>
      <c r="I100" s="46" t="s">
        <v>179</v>
      </c>
      <c r="J100" s="3" t="s">
        <v>179</v>
      </c>
      <c r="K100" s="2">
        <f>Check10</f>
        <v>0</v>
      </c>
      <c r="L100" s="2">
        <v>0</v>
      </c>
      <c r="M100" s="2">
        <f t="shared" si="4"/>
        <v>0</v>
      </c>
      <c r="N100" s="2">
        <v>0</v>
      </c>
      <c r="O100" s="2">
        <v>0</v>
      </c>
      <c r="P100" s="2">
        <v>0</v>
      </c>
      <c r="Q100" s="2">
        <v>0</v>
      </c>
      <c r="R100" s="2" t="str">
        <f t="shared" si="5"/>
        <v>G</v>
      </c>
      <c r="S100" s="86" t="str">
        <f>IF(R100="R",CONCATENATE("No ",J100," are Allowed"),"")</f>
        <v/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  <c r="BA100" s="45"/>
      <c r="BB100" s="45"/>
    </row>
    <row r="101" spans="1:54" x14ac:dyDescent="0.2">
      <c r="A101" s="45"/>
      <c r="B101" s="45"/>
      <c r="C101" s="45"/>
      <c r="D101" s="45"/>
      <c r="E101" s="45"/>
      <c r="F101" s="45"/>
      <c r="G101" s="45"/>
      <c r="H101" s="102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5"/>
      <c r="BB101" s="45"/>
    </row>
    <row r="102" spans="1:54" x14ac:dyDescent="0.2">
      <c r="A102" s="45"/>
      <c r="B102" s="45"/>
      <c r="C102" s="45"/>
      <c r="D102" s="45"/>
      <c r="E102" s="45"/>
      <c r="F102" s="45"/>
      <c r="G102" s="45"/>
      <c r="H102" s="102"/>
      <c r="I102" s="11" t="s">
        <v>495</v>
      </c>
      <c r="J102" s="101" t="e">
        <f>CONCATENATE(S87,S88,S89,S90,S91,S92,S93,S94,S95,S96,S97,S98,S99,S100)</f>
        <v>#N/A</v>
      </c>
      <c r="K102" s="101"/>
      <c r="L102" s="101"/>
      <c r="M102" s="101"/>
      <c r="N102" s="101"/>
      <c r="O102" s="101"/>
      <c r="P102" s="101"/>
      <c r="Q102" s="101"/>
      <c r="R102" s="101"/>
      <c r="S102" s="101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  <c r="AX102" s="45"/>
      <c r="AY102" s="45"/>
      <c r="AZ102" s="45"/>
      <c r="BA102" s="45"/>
      <c r="BB102" s="45"/>
    </row>
    <row r="103" spans="1:54" x14ac:dyDescent="0.2">
      <c r="A103" s="45"/>
      <c r="B103" s="45"/>
      <c r="C103" s="45"/>
      <c r="D103" s="45"/>
      <c r="E103" s="45"/>
      <c r="F103" s="45"/>
      <c r="G103" s="45"/>
      <c r="H103" s="102"/>
      <c r="I103" s="11" t="s">
        <v>360</v>
      </c>
      <c r="J103" s="12" t="e">
        <f>VLOOKUP(LPartNum,Flatwire_Picket[],HLOOKUP($I103,Flatwire_Picket[#All],2,FALSE),FALSE)</f>
        <v>#N/A</v>
      </c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  <c r="AX103" s="45"/>
      <c r="AY103" s="45"/>
      <c r="AZ103" s="45"/>
      <c r="BA103" s="45"/>
      <c r="BB103" s="45"/>
    </row>
    <row r="104" spans="1:54" x14ac:dyDescent="0.2">
      <c r="A104" s="45"/>
      <c r="B104" s="45"/>
      <c r="C104" s="45"/>
      <c r="D104" s="45"/>
      <c r="E104" s="45"/>
      <c r="F104" s="45"/>
      <c r="G104" s="45"/>
      <c r="H104" s="102"/>
      <c r="I104" s="11" t="s">
        <v>361</v>
      </c>
      <c r="J104" s="12" t="e">
        <f>VLOOKUP(LPartNum,Flatwire_Picket[],HLOOKUP($I104,Flatwire_Picket[#All],2,FALSE),FALSE)</f>
        <v>#N/A</v>
      </c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  <c r="BA104" s="45"/>
      <c r="BB104" s="45"/>
    </row>
    <row r="105" spans="1:54" x14ac:dyDescent="0.2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  <c r="BA105" s="45"/>
      <c r="BB105" s="45"/>
    </row>
    <row r="106" spans="1:54" ht="15" customHeight="1" x14ac:dyDescent="0.25">
      <c r="A106" s="45"/>
      <c r="B106" s="45"/>
      <c r="C106" s="45"/>
      <c r="D106" s="45"/>
      <c r="E106" s="45"/>
      <c r="F106" s="45"/>
      <c r="G106" s="45"/>
      <c r="H106" s="105" t="s">
        <v>562</v>
      </c>
      <c r="I106" s="99" t="s">
        <v>562</v>
      </c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  <c r="BA106" s="45"/>
      <c r="BB106" s="45"/>
    </row>
    <row r="107" spans="1:54" ht="60" x14ac:dyDescent="0.2">
      <c r="A107" s="45"/>
      <c r="B107" s="45"/>
      <c r="C107" s="45"/>
      <c r="D107" s="45"/>
      <c r="E107" s="45"/>
      <c r="F107" s="45"/>
      <c r="G107" s="45"/>
      <c r="H107" s="105"/>
      <c r="I107" s="18" t="s">
        <v>147</v>
      </c>
      <c r="J107" s="2" t="s">
        <v>171</v>
      </c>
      <c r="K107" s="5" t="s">
        <v>16</v>
      </c>
      <c r="L107" s="5" t="s">
        <v>169</v>
      </c>
      <c r="M107" s="5" t="s">
        <v>162</v>
      </c>
      <c r="N107" s="5" t="s">
        <v>279</v>
      </c>
      <c r="O107" s="68" t="s">
        <v>347</v>
      </c>
      <c r="P107" s="68" t="s">
        <v>348</v>
      </c>
      <c r="Q107" s="68" t="s">
        <v>280</v>
      </c>
      <c r="R107" s="68" t="s">
        <v>157</v>
      </c>
      <c r="S107" s="13" t="s">
        <v>170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5"/>
      <c r="BB107" s="45"/>
    </row>
    <row r="108" spans="1:54" x14ac:dyDescent="0.2">
      <c r="A108" s="45"/>
      <c r="B108" s="45"/>
      <c r="C108" s="45"/>
      <c r="D108" s="45"/>
      <c r="E108" s="45"/>
      <c r="F108" s="45"/>
      <c r="G108" s="45"/>
      <c r="H108" s="105"/>
      <c r="I108" s="11" t="s">
        <v>571</v>
      </c>
      <c r="J108" s="11" t="s">
        <v>563</v>
      </c>
      <c r="K108" s="2">
        <f>Data1</f>
        <v>0.23499999999999999</v>
      </c>
      <c r="L108" s="13">
        <v>0</v>
      </c>
      <c r="M108" s="13">
        <f>K108-L108</f>
        <v>0.23499999999999999</v>
      </c>
      <c r="N108" s="13">
        <v>0</v>
      </c>
      <c r="O108" s="13">
        <v>0</v>
      </c>
      <c r="P108" s="13">
        <v>0</v>
      </c>
      <c r="Q108" s="13">
        <v>3.125E-2</v>
      </c>
      <c r="R108" s="2" t="str">
        <f>IF(M108&gt;=O108,IF(M108&lt;=P108,"G",IF(M108&gt;Q108,"RH","YH")),IF(M108&lt;N108,"RL","YL"))</f>
        <v>RH</v>
      </c>
      <c r="S108" s="90" t="str">
        <f>IF(R108="RL",CONCATENATE(" The ",J108," is Below the Minimum Tolerance (Target: ",L108," inches)?",""),IF(R108="RH",CONCATENATE(" The ",J108," is Above the Maximum Tolerance (Target: ",L108," inches)?",""),""))</f>
        <v xml:space="preserve"> The Link to Buttonhead Distance is Above the Maximum Tolerance (Target: 0 inches)?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5"/>
      <c r="BB108" s="45"/>
    </row>
    <row r="109" spans="1:54" x14ac:dyDescent="0.2">
      <c r="A109" s="45"/>
      <c r="B109" s="45"/>
      <c r="C109" s="45"/>
      <c r="D109" s="45"/>
      <c r="E109" s="45"/>
      <c r="F109" s="45"/>
      <c r="G109" s="45"/>
      <c r="H109" s="105"/>
      <c r="I109" s="46" t="s">
        <v>564</v>
      </c>
      <c r="J109" s="3" t="s">
        <v>564</v>
      </c>
      <c r="K109" s="2">
        <f>Data2</f>
        <v>0.435</v>
      </c>
      <c r="L109" s="13">
        <v>0</v>
      </c>
      <c r="M109" s="13">
        <f t="shared" ref="M109:M114" si="6">K109-L109</f>
        <v>0.435</v>
      </c>
      <c r="N109" s="13">
        <v>0</v>
      </c>
      <c r="O109" s="13">
        <v>0</v>
      </c>
      <c r="P109" s="13">
        <v>0.5</v>
      </c>
      <c r="Q109" s="13">
        <v>1</v>
      </c>
      <c r="R109" s="2" t="str">
        <f>IF(M109&gt;=O109,IF(M109&lt;=P109,"G",IF(M109&gt;Q109,"RH","YH")),IF(M109&lt;N109,"RL","YL"))</f>
        <v>G</v>
      </c>
      <c r="S109" s="90" t="str">
        <f>IF(R109="RL",CONCATENATE(" The ",J109," is Below the Minimum Tolerance (Target: ",L109," inches)?",""),IF(R109="RH",CONCATENATE(" The ",J109," is Above the Maximum Tolerance (Target: ",L109," inches)?",""),""))</f>
        <v/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</row>
    <row r="110" spans="1:54" x14ac:dyDescent="0.2">
      <c r="A110" s="45"/>
      <c r="B110" s="45"/>
      <c r="C110" s="45"/>
      <c r="D110" s="45"/>
      <c r="E110" s="45"/>
      <c r="F110" s="45"/>
      <c r="G110" s="45"/>
      <c r="H110" s="105"/>
      <c r="I110" s="46" t="s">
        <v>561</v>
      </c>
      <c r="J110" s="3" t="s">
        <v>434</v>
      </c>
      <c r="K110" s="2">
        <f>Data3</f>
        <v>147</v>
      </c>
      <c r="L110" s="13">
        <v>0</v>
      </c>
      <c r="M110" s="13">
        <f t="shared" si="6"/>
        <v>147</v>
      </c>
      <c r="N110" s="13" t="e">
        <f>VLOOKUP(LPartNum,Flatwire_Picket[],HLOOKUP(CONCATENATE($I110," ",Setup_Run," ",N$86),Flatwire_Picket[#All],2,FALSE),FALSE)</f>
        <v>#N/A</v>
      </c>
      <c r="O110" s="13" t="e">
        <f>VLOOKUP(LPartNum,Flatwire_Picket[],HLOOKUP(CONCATENATE($I110," ",Setup_Run," ",O$86),Flatwire_Picket[#All],2,FALSE),FALSE)</f>
        <v>#N/A</v>
      </c>
      <c r="P110" s="13" t="e">
        <f>VLOOKUP(LPartNum,Flatwire_Picket[],HLOOKUP(CONCATENATE($I110," ",Setup_Run," ",P$86),Flatwire_Picket[#All],2,FALSE),FALSE)</f>
        <v>#N/A</v>
      </c>
      <c r="Q110" s="13" t="e">
        <f>VLOOKUP(LPartNum,Flatwire_Picket[],HLOOKUP(CONCATENATE($I110," ",Setup_Run," ",Q$86),Flatwire_Picket[#All],2,FALSE),FALSE)</f>
        <v>#N/A</v>
      </c>
      <c r="R110" s="2" t="e">
        <f>IF(M110&gt;=O110,IF(M110&lt;=P110,"G",IF(M110&gt;Q110,"RH","YH")),IF(M110&lt;N110,"RL","YL"))</f>
        <v>#N/A</v>
      </c>
      <c r="S110" s="90" t="e">
        <f>IF(R110="RL",CONCATENATE(" The ",J110," is Below the Minimum Tolerance (Target: ",L110," inches)?",""),IF(R110="RH",CONCATENATE(" The ",J110," is Above the Maximum Tolerance (Target: ",L110," inches)?",""),""))</f>
        <v>#N/A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</row>
    <row r="111" spans="1:54" x14ac:dyDescent="0.2">
      <c r="A111" s="45"/>
      <c r="B111" s="45"/>
      <c r="C111" s="45"/>
      <c r="D111" s="45"/>
      <c r="E111" s="45"/>
      <c r="F111" s="45"/>
      <c r="G111" s="45"/>
      <c r="H111" s="105"/>
      <c r="I111" s="46" t="s">
        <v>565</v>
      </c>
      <c r="J111" s="3" t="s">
        <v>566</v>
      </c>
      <c r="K111" s="2">
        <f>Data4</f>
        <v>0</v>
      </c>
      <c r="L111" s="13">
        <f>Free_Picket_Width</f>
        <v>0</v>
      </c>
      <c r="M111" s="13">
        <f t="shared" si="6"/>
        <v>0</v>
      </c>
      <c r="N111" s="13">
        <v>-0.15625</v>
      </c>
      <c r="O111" s="13">
        <v>-0.15625</v>
      </c>
      <c r="P111" s="13">
        <v>0.15625</v>
      </c>
      <c r="Q111" s="13">
        <v>0.15625</v>
      </c>
      <c r="R111" s="2" t="str">
        <f>IF(M111&gt;=O111,IF(M111&lt;=P111,"G",IF(M111&gt;Q111,"RH","YH")),IF(M111&lt;N111,"RL","YL"))</f>
        <v>G</v>
      </c>
      <c r="S111" s="90" t="str">
        <f>IF(R111="RL",CONCATENATE(" The ",J111," is Below the Minimum Tolerance (Target: ",L111," inches)?",""),IF(R111="RH",CONCATENATE(" The ",J111," is Above the Maximum Tolerance (Target: ",L111," inches)?",""),""))</f>
        <v/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5"/>
      <c r="BB111" s="45"/>
    </row>
    <row r="112" spans="1:54" x14ac:dyDescent="0.2">
      <c r="A112" s="45"/>
      <c r="B112" s="45"/>
      <c r="C112" s="45"/>
      <c r="D112" s="45"/>
      <c r="E112" s="45"/>
      <c r="F112" s="45"/>
      <c r="G112" s="45"/>
      <c r="H112" s="105"/>
      <c r="I112" s="46" t="s">
        <v>567</v>
      </c>
      <c r="J112" s="3" t="s">
        <v>567</v>
      </c>
      <c r="K112" s="2">
        <f>Check2</f>
        <v>1</v>
      </c>
      <c r="L112" s="13">
        <v>0.875</v>
      </c>
      <c r="M112" s="13">
        <f t="shared" si="6"/>
        <v>0.125</v>
      </c>
      <c r="N112" s="13">
        <v>-0.125</v>
      </c>
      <c r="O112" s="13">
        <v>-0.125</v>
      </c>
      <c r="P112" s="13">
        <v>0.125</v>
      </c>
      <c r="Q112" s="13">
        <v>0.125</v>
      </c>
      <c r="R112" s="2" t="str">
        <f>IF(M112&gt;=O112,IF(M112&lt;=P112,"G",IF(M112&gt;Q112,"RH","YH")),IF(M112&lt;N112,"RL","YL"))</f>
        <v>G</v>
      </c>
      <c r="S112" s="90" t="str">
        <f>IF(R112="RL",CONCATENATE(" The ",J112," is Below the Minimum Tolerance (Target: ",L112," inches)?",""),IF(R112="RH",CONCATENATE(" The ",J112," is Above the Maximum Tolerance (Target: ",L112," inches)?",""),""))</f>
        <v/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</row>
    <row r="113" spans="1:54" x14ac:dyDescent="0.2">
      <c r="A113" s="45"/>
      <c r="B113" s="45"/>
      <c r="C113" s="45"/>
      <c r="D113" s="45"/>
      <c r="E113" s="45"/>
      <c r="F113" s="45"/>
      <c r="G113" s="45"/>
      <c r="H113" s="105"/>
      <c r="I113" s="46" t="s">
        <v>568</v>
      </c>
      <c r="J113" s="3" t="s">
        <v>568</v>
      </c>
      <c r="K113" s="2">
        <f>Check3</f>
        <v>0</v>
      </c>
      <c r="L113" s="13">
        <v>1</v>
      </c>
      <c r="M113" s="13">
        <f t="shared" si="6"/>
        <v>-1</v>
      </c>
      <c r="N113" s="13">
        <v>0</v>
      </c>
      <c r="O113" s="13">
        <v>0</v>
      </c>
      <c r="P113" s="13">
        <v>0</v>
      </c>
      <c r="Q113" s="13">
        <v>0</v>
      </c>
      <c r="R113" s="2" t="str">
        <f>IF(AND(M113&gt;=N113,M113&lt;=Q113),"G","R")</f>
        <v>R</v>
      </c>
      <c r="S113" s="90" t="str">
        <f>IF(R113="R",CONCATENATE("The ",J113," Must Pass Inspection."),"")</f>
        <v>The Collapse Must Pass Inspection.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5"/>
      <c r="BB113" s="45"/>
    </row>
    <row r="114" spans="1:54" x14ac:dyDescent="0.2">
      <c r="A114" s="45"/>
      <c r="B114" s="45"/>
      <c r="C114" s="45"/>
      <c r="D114" s="45"/>
      <c r="E114" s="45"/>
      <c r="F114" s="45"/>
      <c r="G114" s="45"/>
      <c r="H114" s="105"/>
      <c r="I114" s="46" t="s">
        <v>569</v>
      </c>
      <c r="J114" s="3" t="s">
        <v>569</v>
      </c>
      <c r="K114" s="2">
        <f>Check4</f>
        <v>0</v>
      </c>
      <c r="L114" s="2">
        <v>1</v>
      </c>
      <c r="M114" s="2">
        <f t="shared" si="6"/>
        <v>-1</v>
      </c>
      <c r="N114" s="2">
        <v>0</v>
      </c>
      <c r="O114" s="2">
        <v>0</v>
      </c>
      <c r="P114" s="2">
        <v>0</v>
      </c>
      <c r="Q114" s="2">
        <v>0</v>
      </c>
      <c r="R114" s="2" t="str">
        <f>IF(AND(M114&gt;=N114,M114&lt;=Q114),"G","R")</f>
        <v>R</v>
      </c>
      <c r="S114" s="90" t="str">
        <f>IF(R114="R",CONCATENATE("The ",J114," Must Pass Inspection."),"")</f>
        <v>The Pigtail Engagement Must Pass Inspection.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</row>
    <row r="115" spans="1:54" x14ac:dyDescent="0.2">
      <c r="A115" s="45"/>
      <c r="B115" s="45"/>
      <c r="C115" s="45"/>
      <c r="D115" s="45"/>
      <c r="E115" s="45"/>
      <c r="F115" s="45"/>
      <c r="G115" s="45"/>
      <c r="H115" s="10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</row>
    <row r="116" spans="1:54" x14ac:dyDescent="0.2">
      <c r="A116" s="45"/>
      <c r="B116" s="45"/>
      <c r="C116" s="45"/>
      <c r="D116" s="45"/>
      <c r="E116" s="45"/>
      <c r="F116" s="45"/>
      <c r="G116" s="45"/>
      <c r="H116" s="105"/>
      <c r="I116" s="11" t="s">
        <v>495</v>
      </c>
      <c r="J116" s="101" t="e">
        <f>CONCATENATE(S108,S109,S110,S111,S112,S113,S114,#REF!,#REF!,#REF!,#REF!,#REF!,#REF!,#REF!)</f>
        <v>#N/A</v>
      </c>
      <c r="K116" s="101"/>
      <c r="L116" s="101"/>
      <c r="M116" s="101"/>
      <c r="N116" s="101"/>
      <c r="O116" s="101"/>
      <c r="P116" s="101"/>
      <c r="Q116" s="101"/>
      <c r="R116" s="101"/>
      <c r="S116" s="101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  <c r="BA116" s="45"/>
      <c r="BB116" s="45"/>
    </row>
    <row r="117" spans="1:54" x14ac:dyDescent="0.2">
      <c r="A117" s="45"/>
      <c r="B117" s="45"/>
      <c r="C117" s="45"/>
      <c r="D117" s="45"/>
      <c r="E117" s="45"/>
      <c r="F117" s="45"/>
      <c r="G117" s="45"/>
      <c r="H117" s="105"/>
      <c r="I117" s="11" t="s">
        <v>360</v>
      </c>
      <c r="J117" s="12" t="e">
        <f>VLOOKUP(LPartNum,Flatwire_Picket[],HLOOKUP($I117,Flatwire_Picket[#All],2,FALSE),FALSE)</f>
        <v>#N/A</v>
      </c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</row>
    <row r="118" spans="1:54" x14ac:dyDescent="0.2">
      <c r="A118" s="45"/>
      <c r="B118" s="45"/>
      <c r="C118" s="45"/>
      <c r="D118" s="45"/>
      <c r="E118" s="45"/>
      <c r="F118" s="45"/>
      <c r="G118" s="45"/>
      <c r="H118" s="105"/>
      <c r="I118" s="11" t="s">
        <v>361</v>
      </c>
      <c r="J118" s="12" t="e">
        <f>VLOOKUP(LPartNum,Flatwire_Picket[],HLOOKUP($I118,Flatwire_Picket[#All],2,FALSE),FALSE)</f>
        <v>#N/A</v>
      </c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  <c r="BA118" s="45"/>
      <c r="BB118" s="45"/>
    </row>
    <row r="119" spans="1:54" x14ac:dyDescent="0.2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  <c r="BA119" s="45"/>
      <c r="BB119" s="45"/>
    </row>
    <row r="120" spans="1:54" x14ac:dyDescent="0.2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</row>
    <row r="121" spans="1:54" x14ac:dyDescent="0.2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</row>
    <row r="122" spans="1:54" x14ac:dyDescent="0.2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</row>
    <row r="123" spans="1:54" x14ac:dyDescent="0.2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  <c r="BA123" s="45"/>
      <c r="BB123" s="45"/>
    </row>
    <row r="124" spans="1:54" x14ac:dyDescent="0.2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  <c r="BA124" s="45"/>
      <c r="BB124" s="45"/>
    </row>
    <row r="125" spans="1:54" x14ac:dyDescent="0.2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  <c r="BA125" s="45"/>
      <c r="BB125" s="45"/>
    </row>
    <row r="126" spans="1:54" x14ac:dyDescent="0.2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  <c r="BA126" s="45"/>
      <c r="BB126" s="45"/>
    </row>
    <row r="127" spans="1:54" x14ac:dyDescent="0.2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</row>
    <row r="128" spans="1:54" x14ac:dyDescent="0.2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  <c r="BA128" s="45"/>
      <c r="BB128" s="45"/>
    </row>
    <row r="129" spans="1:54" x14ac:dyDescent="0.2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</row>
    <row r="130" spans="1:54" x14ac:dyDescent="0.2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  <c r="BA130" s="45"/>
      <c r="BB130" s="45"/>
    </row>
    <row r="131" spans="1:54" x14ac:dyDescent="0.2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  <c r="BA131" s="45"/>
      <c r="BB131" s="45"/>
    </row>
    <row r="132" spans="1:54" x14ac:dyDescent="0.2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  <c r="BA132" s="45"/>
      <c r="BB132" s="45"/>
    </row>
    <row r="133" spans="1:54" x14ac:dyDescent="0.2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  <c r="BA133" s="45"/>
      <c r="BB133" s="45"/>
    </row>
    <row r="134" spans="1:54" x14ac:dyDescent="0.2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  <c r="BA134" s="45"/>
      <c r="BB134" s="45"/>
    </row>
    <row r="135" spans="1:54" x14ac:dyDescent="0.2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  <c r="BA135" s="45"/>
      <c r="BB135" s="45"/>
    </row>
    <row r="136" spans="1:54" x14ac:dyDescent="0.2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  <c r="BA136" s="45"/>
      <c r="BB136" s="45"/>
    </row>
    <row r="137" spans="1:54" x14ac:dyDescent="0.2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</row>
    <row r="138" spans="1:54" x14ac:dyDescent="0.2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</row>
    <row r="139" spans="1:54" x14ac:dyDescent="0.2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</row>
    <row r="140" spans="1:54" x14ac:dyDescent="0.2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</row>
    <row r="141" spans="1:54" x14ac:dyDescent="0.2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</row>
    <row r="142" spans="1:54" x14ac:dyDescent="0.2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  <c r="BA142" s="45"/>
      <c r="BB142" s="45"/>
    </row>
    <row r="143" spans="1:54" x14ac:dyDescent="0.2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  <c r="BA143" s="45"/>
      <c r="BB143" s="45"/>
    </row>
    <row r="144" spans="1:54" x14ac:dyDescent="0.2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  <c r="BA144" s="45"/>
      <c r="BB144" s="45"/>
    </row>
    <row r="145" spans="1:54" x14ac:dyDescent="0.2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  <c r="BA145" s="45"/>
      <c r="BB145" s="45"/>
    </row>
    <row r="146" spans="1:54" x14ac:dyDescent="0.2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  <c r="BA146" s="45"/>
      <c r="BB146" s="45"/>
    </row>
    <row r="147" spans="1:54" x14ac:dyDescent="0.2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  <c r="BA147" s="45"/>
      <c r="BB147" s="45"/>
    </row>
    <row r="148" spans="1:54" x14ac:dyDescent="0.2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  <c r="BA148" s="45"/>
      <c r="BB148" s="45"/>
    </row>
    <row r="149" spans="1:54" x14ac:dyDescent="0.2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  <c r="AX149" s="45"/>
      <c r="AY149" s="45"/>
      <c r="AZ149" s="45"/>
      <c r="BA149" s="45"/>
      <c r="BB149" s="45"/>
    </row>
    <row r="150" spans="1:54" x14ac:dyDescent="0.2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  <c r="AX150" s="45"/>
      <c r="AY150" s="45"/>
      <c r="AZ150" s="45"/>
      <c r="BA150" s="45"/>
      <c r="BB150" s="45"/>
    </row>
    <row r="151" spans="1:54" x14ac:dyDescent="0.2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  <c r="AX151" s="45"/>
      <c r="AY151" s="45"/>
      <c r="AZ151" s="45"/>
      <c r="BA151" s="45"/>
      <c r="BB151" s="45"/>
    </row>
    <row r="152" spans="1:54" x14ac:dyDescent="0.2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  <c r="AX152" s="45"/>
      <c r="AY152" s="45"/>
      <c r="AZ152" s="45"/>
      <c r="BA152" s="45"/>
      <c r="BB152" s="45"/>
    </row>
    <row r="153" spans="1:54" x14ac:dyDescent="0.2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  <c r="AX153" s="45"/>
      <c r="AY153" s="45"/>
      <c r="AZ153" s="45"/>
      <c r="BA153" s="45"/>
      <c r="BB153" s="45"/>
    </row>
    <row r="154" spans="1:54" x14ac:dyDescent="0.2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  <c r="AX154" s="45"/>
      <c r="AY154" s="45"/>
      <c r="AZ154" s="45"/>
      <c r="BA154" s="45"/>
      <c r="BB154" s="45"/>
    </row>
    <row r="155" spans="1:54" x14ac:dyDescent="0.2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  <c r="AX155" s="45"/>
      <c r="AY155" s="45"/>
      <c r="AZ155" s="45"/>
      <c r="BA155" s="45"/>
      <c r="BB155" s="45"/>
    </row>
    <row r="156" spans="1:54" x14ac:dyDescent="0.2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  <c r="AX156" s="45"/>
      <c r="AY156" s="45"/>
      <c r="AZ156" s="45"/>
      <c r="BA156" s="45"/>
      <c r="BB156" s="45"/>
    </row>
    <row r="157" spans="1:54" x14ac:dyDescent="0.2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</row>
    <row r="158" spans="1:54" x14ac:dyDescent="0.2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</row>
    <row r="159" spans="1:54" x14ac:dyDescent="0.2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x14ac:dyDescent="0.2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  <c r="AX160" s="45"/>
      <c r="AY160" s="45"/>
      <c r="AZ160" s="45"/>
      <c r="BA160" s="45"/>
      <c r="BB160" s="45"/>
    </row>
    <row r="161" spans="1:54" x14ac:dyDescent="0.2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</row>
    <row r="162" spans="1:54" x14ac:dyDescent="0.2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  <c r="AX162" s="45"/>
      <c r="AY162" s="45"/>
      <c r="AZ162" s="45"/>
      <c r="BA162" s="45"/>
      <c r="BB162" s="45"/>
    </row>
    <row r="163" spans="1:54" x14ac:dyDescent="0.2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  <c r="AX163" s="45"/>
      <c r="AY163" s="45"/>
      <c r="AZ163" s="45"/>
      <c r="BA163" s="45"/>
      <c r="BB163" s="45"/>
    </row>
    <row r="164" spans="1:54" x14ac:dyDescent="0.2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  <c r="AX164" s="45"/>
      <c r="AY164" s="45"/>
      <c r="AZ164" s="45"/>
      <c r="BA164" s="45"/>
      <c r="BB164" s="45"/>
    </row>
    <row r="165" spans="1:54" x14ac:dyDescent="0.2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</row>
    <row r="166" spans="1:54" x14ac:dyDescent="0.2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</row>
    <row r="167" spans="1:54" x14ac:dyDescent="0.2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  <c r="AX167" s="45"/>
      <c r="AY167" s="45"/>
      <c r="AZ167" s="45"/>
      <c r="BA167" s="45"/>
      <c r="BB167" s="45"/>
    </row>
    <row r="168" spans="1:54" x14ac:dyDescent="0.2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  <c r="AX168" s="45"/>
      <c r="AY168" s="45"/>
      <c r="AZ168" s="45"/>
      <c r="BA168" s="45"/>
      <c r="BB168" s="45"/>
    </row>
    <row r="169" spans="1:54" x14ac:dyDescent="0.2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45"/>
      <c r="AZ169" s="45"/>
      <c r="BA169" s="45"/>
      <c r="BB169" s="45"/>
    </row>
    <row r="170" spans="1:54" x14ac:dyDescent="0.2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  <c r="AX170" s="45"/>
      <c r="AY170" s="45"/>
      <c r="AZ170" s="45"/>
      <c r="BA170" s="45"/>
      <c r="BB170" s="45"/>
    </row>
    <row r="171" spans="1:54" x14ac:dyDescent="0.2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  <c r="AX171" s="45"/>
      <c r="AY171" s="45"/>
      <c r="AZ171" s="45"/>
      <c r="BA171" s="45"/>
      <c r="BB171" s="45"/>
    </row>
    <row r="172" spans="1:54" x14ac:dyDescent="0.2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  <c r="AX172" s="45"/>
      <c r="AY172" s="45"/>
      <c r="AZ172" s="45"/>
      <c r="BA172" s="45"/>
      <c r="BB172" s="45"/>
    </row>
    <row r="173" spans="1:54" x14ac:dyDescent="0.2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  <c r="AX173" s="45"/>
      <c r="AY173" s="45"/>
      <c r="AZ173" s="45"/>
      <c r="BA173" s="45"/>
      <c r="BB173" s="45"/>
    </row>
    <row r="174" spans="1:54" x14ac:dyDescent="0.2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</row>
    <row r="175" spans="1:54" x14ac:dyDescent="0.2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  <c r="AX175" s="45"/>
      <c r="AY175" s="45"/>
      <c r="AZ175" s="45"/>
      <c r="BA175" s="45"/>
      <c r="BB175" s="45"/>
    </row>
    <row r="176" spans="1:54" x14ac:dyDescent="0.2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  <c r="AX176" s="45"/>
      <c r="AY176" s="45"/>
      <c r="AZ176" s="45"/>
      <c r="BA176" s="45"/>
      <c r="BB176" s="45"/>
    </row>
    <row r="177" spans="1:54" x14ac:dyDescent="0.2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  <c r="AX177" s="45"/>
      <c r="AY177" s="45"/>
      <c r="AZ177" s="45"/>
      <c r="BA177" s="45"/>
      <c r="BB177" s="45"/>
    </row>
    <row r="178" spans="1:54" x14ac:dyDescent="0.2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</row>
    <row r="179" spans="1:54" x14ac:dyDescent="0.2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  <c r="AX179" s="45"/>
      <c r="AY179" s="45"/>
      <c r="AZ179" s="45"/>
      <c r="BA179" s="45"/>
      <c r="BB179" s="45"/>
    </row>
    <row r="180" spans="1:54" x14ac:dyDescent="0.2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</row>
    <row r="181" spans="1:54" x14ac:dyDescent="0.2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  <c r="AX181" s="45"/>
      <c r="AY181" s="45"/>
      <c r="AZ181" s="45"/>
      <c r="BA181" s="45"/>
      <c r="BB181" s="45"/>
    </row>
    <row r="182" spans="1:54" x14ac:dyDescent="0.2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  <c r="AX182" s="45"/>
      <c r="AY182" s="45"/>
      <c r="AZ182" s="45"/>
      <c r="BA182" s="45"/>
      <c r="BB182" s="45"/>
    </row>
    <row r="183" spans="1:54" x14ac:dyDescent="0.2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  <c r="AX183" s="45"/>
      <c r="AY183" s="45"/>
      <c r="AZ183" s="45"/>
      <c r="BA183" s="45"/>
      <c r="BB183" s="45"/>
    </row>
    <row r="184" spans="1:54" x14ac:dyDescent="0.2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  <c r="AX184" s="45"/>
      <c r="AY184" s="45"/>
      <c r="AZ184" s="45"/>
      <c r="BA184" s="45"/>
      <c r="BB184" s="45"/>
    </row>
    <row r="185" spans="1:54" x14ac:dyDescent="0.2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  <c r="AX185" s="45"/>
      <c r="AY185" s="45"/>
      <c r="AZ185" s="45"/>
      <c r="BA185" s="45"/>
      <c r="BB185" s="45"/>
    </row>
    <row r="186" spans="1:54" x14ac:dyDescent="0.2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  <c r="AX186" s="45"/>
      <c r="AY186" s="45"/>
      <c r="AZ186" s="45"/>
      <c r="BA186" s="45"/>
      <c r="BB186" s="45"/>
    </row>
    <row r="187" spans="1:54" x14ac:dyDescent="0.2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  <c r="AX187" s="45"/>
      <c r="AY187" s="45"/>
      <c r="AZ187" s="45"/>
      <c r="BA187" s="45"/>
      <c r="BB187" s="45"/>
    </row>
    <row r="188" spans="1:54" x14ac:dyDescent="0.2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  <c r="AX188" s="45"/>
      <c r="AY188" s="45"/>
      <c r="AZ188" s="45"/>
      <c r="BA188" s="45"/>
      <c r="BB188" s="45"/>
    </row>
    <row r="189" spans="1:54" x14ac:dyDescent="0.2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x14ac:dyDescent="0.2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  <c r="AX190" s="45"/>
      <c r="AY190" s="45"/>
      <c r="AZ190" s="45"/>
      <c r="BA190" s="45"/>
      <c r="BB190" s="45"/>
    </row>
    <row r="191" spans="1:54" x14ac:dyDescent="0.2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  <c r="AX191" s="45"/>
      <c r="AY191" s="45"/>
      <c r="AZ191" s="45"/>
      <c r="BA191" s="45"/>
      <c r="BB191" s="45"/>
    </row>
    <row r="192" spans="1:54" x14ac:dyDescent="0.2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  <c r="AX192" s="45"/>
      <c r="AY192" s="45"/>
      <c r="AZ192" s="45"/>
      <c r="BA192" s="45"/>
      <c r="BB192" s="45"/>
    </row>
    <row r="193" spans="1:54" x14ac:dyDescent="0.2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  <c r="AX193" s="45"/>
      <c r="AY193" s="45"/>
      <c r="AZ193" s="45"/>
      <c r="BA193" s="45"/>
      <c r="BB193" s="45"/>
    </row>
    <row r="194" spans="1:54" x14ac:dyDescent="0.2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  <c r="AX194" s="45"/>
      <c r="AY194" s="45"/>
      <c r="AZ194" s="45"/>
      <c r="BA194" s="45"/>
      <c r="BB194" s="45"/>
    </row>
    <row r="195" spans="1:54" x14ac:dyDescent="0.2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  <c r="AX195" s="45"/>
      <c r="AY195" s="45"/>
      <c r="AZ195" s="45"/>
      <c r="BA195" s="45"/>
      <c r="BB195" s="45"/>
    </row>
    <row r="196" spans="1:54" x14ac:dyDescent="0.2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  <c r="AX196" s="45"/>
      <c r="AY196" s="45"/>
      <c r="AZ196" s="45"/>
      <c r="BA196" s="45"/>
      <c r="BB196" s="45"/>
    </row>
    <row r="197" spans="1:54" x14ac:dyDescent="0.2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  <c r="AX197" s="45"/>
      <c r="AY197" s="45"/>
      <c r="AZ197" s="45"/>
      <c r="BA197" s="45"/>
      <c r="BB197" s="45"/>
    </row>
    <row r="198" spans="1:54" x14ac:dyDescent="0.2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  <c r="AX198" s="45"/>
      <c r="AY198" s="45"/>
      <c r="AZ198" s="45"/>
      <c r="BA198" s="45"/>
      <c r="BB198" s="45"/>
    </row>
    <row r="199" spans="1:54" x14ac:dyDescent="0.2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  <c r="AX199" s="45"/>
      <c r="AY199" s="45"/>
      <c r="AZ199" s="45"/>
      <c r="BA199" s="45"/>
      <c r="BB199" s="45"/>
    </row>
    <row r="200" spans="1:54" x14ac:dyDescent="0.2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  <c r="AX200" s="45"/>
      <c r="AY200" s="45"/>
      <c r="AZ200" s="45"/>
      <c r="BA200" s="45"/>
      <c r="BB200" s="45"/>
    </row>
    <row r="201" spans="1:54" x14ac:dyDescent="0.2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  <c r="AX201" s="45"/>
      <c r="AY201" s="45"/>
      <c r="AZ201" s="45"/>
      <c r="BA201" s="45"/>
      <c r="BB201" s="45"/>
    </row>
    <row r="202" spans="1:54" x14ac:dyDescent="0.2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  <c r="AX202" s="45"/>
      <c r="AY202" s="45"/>
      <c r="AZ202" s="45"/>
      <c r="BA202" s="45"/>
      <c r="BB202" s="45"/>
    </row>
    <row r="203" spans="1:54" x14ac:dyDescent="0.2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  <c r="AX203" s="45"/>
      <c r="AY203" s="45"/>
      <c r="AZ203" s="45"/>
      <c r="BA203" s="45"/>
      <c r="BB203" s="45"/>
    </row>
    <row r="204" spans="1:54" x14ac:dyDescent="0.2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  <c r="AX204" s="45"/>
      <c r="AY204" s="45"/>
      <c r="AZ204" s="45"/>
      <c r="BA204" s="45"/>
      <c r="BB204" s="45"/>
    </row>
    <row r="205" spans="1:54" x14ac:dyDescent="0.2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  <c r="AX205" s="45"/>
      <c r="AY205" s="45"/>
      <c r="AZ205" s="45"/>
      <c r="BA205" s="45"/>
      <c r="BB205" s="45"/>
    </row>
    <row r="206" spans="1:54" x14ac:dyDescent="0.2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5"/>
      <c r="AX206" s="45"/>
      <c r="AY206" s="45"/>
      <c r="AZ206" s="45"/>
      <c r="BA206" s="45"/>
      <c r="BB206" s="45"/>
    </row>
    <row r="207" spans="1:54" x14ac:dyDescent="0.2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5"/>
      <c r="AX207" s="45"/>
      <c r="AY207" s="45"/>
      <c r="AZ207" s="45"/>
      <c r="BA207" s="45"/>
      <c r="BB207" s="45"/>
    </row>
    <row r="208" spans="1:54" x14ac:dyDescent="0.2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  <c r="AX208" s="45"/>
      <c r="AY208" s="45"/>
      <c r="AZ208" s="45"/>
      <c r="BA208" s="45"/>
      <c r="BB208" s="45"/>
    </row>
    <row r="209" spans="1:54" x14ac:dyDescent="0.2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5"/>
      <c r="AX209" s="45"/>
      <c r="AY209" s="45"/>
      <c r="AZ209" s="45"/>
      <c r="BA209" s="45"/>
      <c r="BB209" s="45"/>
    </row>
    <row r="210" spans="1:54" x14ac:dyDescent="0.2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  <c r="AX210" s="45"/>
      <c r="AY210" s="45"/>
      <c r="AZ210" s="45"/>
      <c r="BA210" s="45"/>
      <c r="BB210" s="45"/>
    </row>
    <row r="211" spans="1:54" x14ac:dyDescent="0.2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5"/>
      <c r="AX211" s="45"/>
      <c r="AY211" s="45"/>
      <c r="AZ211" s="45"/>
      <c r="BA211" s="45"/>
      <c r="BB211" s="45"/>
    </row>
    <row r="212" spans="1:54" x14ac:dyDescent="0.2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  <c r="AX212" s="45"/>
      <c r="AY212" s="45"/>
      <c r="AZ212" s="45"/>
      <c r="BA212" s="45"/>
      <c r="BB212" s="45"/>
    </row>
    <row r="213" spans="1:54" x14ac:dyDescent="0.2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5"/>
      <c r="AX213" s="45"/>
      <c r="AY213" s="45"/>
      <c r="AZ213" s="45"/>
      <c r="BA213" s="45"/>
      <c r="BB213" s="45"/>
    </row>
    <row r="214" spans="1:54" x14ac:dyDescent="0.2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5"/>
      <c r="AX214" s="45"/>
      <c r="AY214" s="45"/>
      <c r="AZ214" s="45"/>
      <c r="BA214" s="45"/>
      <c r="BB214" s="45"/>
    </row>
    <row r="215" spans="1:54" x14ac:dyDescent="0.2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  <c r="BA215" s="45"/>
      <c r="BB215" s="45"/>
    </row>
    <row r="216" spans="1:54" x14ac:dyDescent="0.2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  <c r="BA216" s="45"/>
      <c r="BB216" s="45"/>
    </row>
    <row r="217" spans="1:54" x14ac:dyDescent="0.2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  <c r="BA217" s="45"/>
      <c r="BB217" s="45"/>
    </row>
    <row r="218" spans="1:54" x14ac:dyDescent="0.2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  <c r="BA218" s="45"/>
      <c r="BB218" s="45"/>
    </row>
    <row r="219" spans="1:54" x14ac:dyDescent="0.2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  <c r="BA219" s="45"/>
      <c r="BB219" s="45"/>
    </row>
    <row r="220" spans="1:54" x14ac:dyDescent="0.2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  <c r="BA220" s="45"/>
      <c r="BB220" s="45"/>
    </row>
    <row r="221" spans="1:54" x14ac:dyDescent="0.2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  <c r="BA221" s="45"/>
      <c r="BB221" s="45"/>
    </row>
    <row r="222" spans="1:54" x14ac:dyDescent="0.2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  <c r="BA222" s="45"/>
      <c r="BB222" s="45"/>
    </row>
    <row r="223" spans="1:54" x14ac:dyDescent="0.2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  <c r="BA223" s="45"/>
      <c r="BB223" s="45"/>
    </row>
    <row r="224" spans="1:54" x14ac:dyDescent="0.2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  <c r="BA224" s="45"/>
      <c r="BB224" s="45"/>
    </row>
    <row r="225" spans="1:54" x14ac:dyDescent="0.2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  <c r="BA225" s="45"/>
      <c r="BB225" s="45"/>
    </row>
    <row r="226" spans="1:54" x14ac:dyDescent="0.2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  <c r="BA226" s="45"/>
      <c r="BB226" s="45"/>
    </row>
    <row r="227" spans="1:54" x14ac:dyDescent="0.2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  <c r="BA227" s="45"/>
      <c r="BB227" s="45"/>
    </row>
    <row r="228" spans="1:54" x14ac:dyDescent="0.2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  <c r="BA228" s="45"/>
      <c r="BB228" s="45"/>
    </row>
    <row r="229" spans="1:54" x14ac:dyDescent="0.2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  <c r="BA229" s="45"/>
      <c r="BB229" s="45"/>
    </row>
    <row r="230" spans="1:54" x14ac:dyDescent="0.2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  <c r="BA230" s="45"/>
      <c r="BB230" s="45"/>
    </row>
    <row r="231" spans="1:54" x14ac:dyDescent="0.2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  <c r="BA231" s="45"/>
      <c r="BB231" s="45"/>
    </row>
    <row r="232" spans="1:54" x14ac:dyDescent="0.2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  <c r="BA232" s="45"/>
      <c r="BB232" s="45"/>
    </row>
    <row r="233" spans="1:54" x14ac:dyDescent="0.2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  <c r="BA233" s="45"/>
      <c r="BB233" s="45"/>
    </row>
    <row r="234" spans="1:54" x14ac:dyDescent="0.2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  <c r="BA234" s="45"/>
      <c r="BB234" s="45"/>
    </row>
    <row r="235" spans="1:54" x14ac:dyDescent="0.2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  <c r="BA235" s="45"/>
      <c r="BB235" s="45"/>
    </row>
    <row r="236" spans="1:54" x14ac:dyDescent="0.2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5"/>
      <c r="AX236" s="45"/>
      <c r="AY236" s="45"/>
      <c r="AZ236" s="45"/>
      <c r="BA236" s="45"/>
      <c r="BB236" s="45"/>
    </row>
    <row r="237" spans="1:54" x14ac:dyDescent="0.2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  <c r="AX237" s="45"/>
      <c r="AY237" s="45"/>
      <c r="AZ237" s="45"/>
      <c r="BA237" s="45"/>
      <c r="BB237" s="45"/>
    </row>
    <row r="238" spans="1:54" x14ac:dyDescent="0.2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5"/>
      <c r="AX238" s="45"/>
      <c r="AY238" s="45"/>
      <c r="AZ238" s="45"/>
      <c r="BA238" s="45"/>
      <c r="BB238" s="45"/>
    </row>
    <row r="239" spans="1:54" x14ac:dyDescent="0.2">
      <c r="A239" s="45"/>
      <c r="B239" s="45"/>
      <c r="C239" s="45"/>
      <c r="D239" s="45"/>
      <c r="E239" s="45"/>
      <c r="F239" s="45"/>
      <c r="G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</row>
    <row r="240" spans="1:54" x14ac:dyDescent="0.2">
      <c r="A240" s="45"/>
      <c r="B240" s="45"/>
      <c r="C240" s="45"/>
      <c r="D240" s="45"/>
      <c r="E240" s="45"/>
      <c r="F240" s="45"/>
      <c r="G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</row>
    <row r="241" spans="1:27" x14ac:dyDescent="0.2">
      <c r="A241" s="45"/>
      <c r="B241" s="45"/>
      <c r="C241" s="45"/>
      <c r="D241" s="45"/>
      <c r="E241" s="45"/>
      <c r="F241" s="45"/>
      <c r="G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</row>
    <row r="242" spans="1:27" x14ac:dyDescent="0.2">
      <c r="A242" s="45"/>
      <c r="B242" s="45"/>
      <c r="C242" s="45"/>
      <c r="D242" s="45"/>
      <c r="E242" s="45"/>
      <c r="F242" s="45"/>
      <c r="G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</row>
    <row r="243" spans="1:27" x14ac:dyDescent="0.2">
      <c r="A243" s="45"/>
      <c r="B243" s="45"/>
      <c r="C243" s="45"/>
      <c r="D243" s="45"/>
      <c r="E243" s="45"/>
      <c r="F243" s="45"/>
      <c r="G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</row>
    <row r="244" spans="1:27" x14ac:dyDescent="0.2">
      <c r="A244" s="45"/>
      <c r="B244" s="45"/>
      <c r="C244" s="45"/>
      <c r="D244" s="45"/>
      <c r="E244" s="45"/>
      <c r="F244" s="45"/>
      <c r="G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</row>
    <row r="245" spans="1:27" x14ac:dyDescent="0.2">
      <c r="A245" s="45"/>
      <c r="B245" s="45"/>
      <c r="C245" s="45"/>
      <c r="D245" s="45"/>
      <c r="E245" s="45"/>
      <c r="F245" s="45"/>
      <c r="G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</row>
    <row r="246" spans="1:27" x14ac:dyDescent="0.2">
      <c r="A246" s="45"/>
      <c r="B246" s="45"/>
      <c r="C246" s="45"/>
      <c r="D246" s="45"/>
      <c r="E246" s="45"/>
      <c r="F246" s="45"/>
      <c r="G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</row>
    <row r="247" spans="1:27" x14ac:dyDescent="0.2">
      <c r="A247" s="45"/>
      <c r="B247" s="45"/>
      <c r="C247" s="45"/>
      <c r="D247" s="45"/>
      <c r="E247" s="45"/>
      <c r="F247" s="45"/>
      <c r="G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27" x14ac:dyDescent="0.2">
      <c r="A248" s="45"/>
      <c r="B248" s="45"/>
      <c r="C248" s="45"/>
      <c r="D248" s="45"/>
      <c r="E248" s="45"/>
      <c r="F248" s="45"/>
      <c r="G248" s="45"/>
    </row>
    <row r="249" spans="1:27" x14ac:dyDescent="0.2">
      <c r="A249" s="45"/>
      <c r="B249" s="45"/>
      <c r="C249" s="45"/>
      <c r="D249" s="45"/>
      <c r="E249" s="45"/>
      <c r="F249" s="45"/>
      <c r="G249" s="45"/>
    </row>
    <row r="250" spans="1:27" x14ac:dyDescent="0.2">
      <c r="A250" s="45"/>
      <c r="B250" s="45"/>
      <c r="C250" s="45"/>
      <c r="D250" s="45"/>
      <c r="E250" s="45"/>
      <c r="F250" s="45"/>
      <c r="G250" s="45"/>
    </row>
    <row r="251" spans="1:27" x14ac:dyDescent="0.2">
      <c r="A251" s="45"/>
      <c r="B251" s="45"/>
      <c r="C251" s="45"/>
      <c r="D251" s="45"/>
      <c r="E251" s="45"/>
      <c r="F251" s="45"/>
      <c r="G251" s="45"/>
    </row>
    <row r="252" spans="1:27" x14ac:dyDescent="0.2">
      <c r="A252" s="45"/>
      <c r="B252" s="45"/>
      <c r="C252" s="45"/>
      <c r="D252" s="45"/>
      <c r="E252" s="45"/>
      <c r="F252" s="45"/>
      <c r="G252" s="45"/>
    </row>
    <row r="253" spans="1:27" x14ac:dyDescent="0.2">
      <c r="A253" s="45"/>
      <c r="B253" s="45"/>
      <c r="C253" s="45"/>
      <c r="D253" s="45"/>
      <c r="E253" s="45"/>
      <c r="F253" s="45"/>
      <c r="G253" s="45"/>
    </row>
    <row r="254" spans="1:27" x14ac:dyDescent="0.2">
      <c r="A254" s="45"/>
      <c r="B254" s="45"/>
      <c r="C254" s="45"/>
      <c r="D254" s="45"/>
      <c r="E254" s="45"/>
      <c r="F254" s="45"/>
      <c r="G254" s="45"/>
    </row>
    <row r="255" spans="1:27" x14ac:dyDescent="0.2">
      <c r="A255" s="45"/>
      <c r="B255" s="45"/>
      <c r="C255" s="45"/>
      <c r="D255" s="45"/>
      <c r="E255" s="45"/>
      <c r="F255" s="45"/>
      <c r="G255" s="45"/>
    </row>
    <row r="256" spans="1:27" x14ac:dyDescent="0.2">
      <c r="A256" s="45"/>
      <c r="B256" s="45"/>
      <c r="C256" s="45"/>
      <c r="D256" s="45"/>
      <c r="E256" s="45"/>
      <c r="F256" s="45"/>
      <c r="G256" s="45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5"/>
      <c r="B258" s="45"/>
      <c r="C258" s="45"/>
      <c r="D258" s="45"/>
      <c r="E258" s="45"/>
      <c r="F258" s="45"/>
      <c r="G258" s="45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5"/>
      <c r="B260" s="45"/>
      <c r="C260" s="45"/>
      <c r="D260" s="45"/>
      <c r="E260" s="45"/>
      <c r="F260" s="45"/>
      <c r="G260" s="45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5"/>
      <c r="B262" s="45"/>
      <c r="C262" s="45"/>
      <c r="D262" s="45"/>
      <c r="E262" s="45"/>
      <c r="F262" s="45"/>
      <c r="G262" s="45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5"/>
      <c r="B264" s="45"/>
      <c r="C264" s="45"/>
      <c r="D264" s="45"/>
      <c r="E264" s="45"/>
      <c r="F264" s="45"/>
      <c r="G264" s="45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5"/>
      <c r="B266" s="45"/>
      <c r="C266" s="45"/>
      <c r="D266" s="45"/>
      <c r="E266" s="45"/>
      <c r="F266" s="45"/>
      <c r="G266" s="45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5"/>
      <c r="B268" s="45"/>
      <c r="C268" s="45"/>
      <c r="D268" s="45"/>
      <c r="E268" s="45"/>
      <c r="F268" s="45"/>
      <c r="G268" s="45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5"/>
      <c r="B270" s="45"/>
      <c r="C270" s="45"/>
      <c r="D270" s="45"/>
      <c r="E270" s="45"/>
      <c r="F270" s="45"/>
      <c r="G270" s="45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5"/>
      <c r="B272" s="45"/>
      <c r="C272" s="45"/>
      <c r="D272" s="45"/>
      <c r="E272" s="45"/>
      <c r="F272" s="45"/>
      <c r="G272" s="45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5"/>
      <c r="B274" s="45"/>
      <c r="C274" s="45"/>
      <c r="D274" s="45"/>
      <c r="E274" s="45"/>
      <c r="F274" s="45"/>
      <c r="G274" s="45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5"/>
      <c r="B276" s="45"/>
      <c r="C276" s="45"/>
      <c r="D276" s="45"/>
      <c r="E276" s="45"/>
      <c r="F276" s="45"/>
      <c r="G276" s="45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5"/>
      <c r="B278" s="45"/>
      <c r="C278" s="45"/>
      <c r="D278" s="45"/>
      <c r="E278" s="45"/>
      <c r="F278" s="45"/>
      <c r="G278" s="45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5"/>
      <c r="B280" s="45"/>
      <c r="C280" s="45"/>
      <c r="D280" s="45"/>
      <c r="E280" s="45"/>
      <c r="F280" s="45"/>
      <c r="G280" s="45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5"/>
      <c r="B282" s="45"/>
      <c r="C282" s="45"/>
      <c r="D282" s="45"/>
      <c r="E282" s="45"/>
      <c r="F282" s="45"/>
      <c r="G282" s="45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5"/>
      <c r="B284" s="45"/>
      <c r="C284" s="45"/>
      <c r="D284" s="45"/>
      <c r="E284" s="45"/>
      <c r="F284" s="45"/>
      <c r="G284" s="45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5"/>
      <c r="B286" s="45"/>
      <c r="C286" s="45"/>
      <c r="D286" s="45"/>
      <c r="E286" s="45"/>
      <c r="F286" s="45"/>
      <c r="G286" s="45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5"/>
      <c r="B288" s="45"/>
      <c r="C288" s="45"/>
      <c r="D288" s="45"/>
      <c r="E288" s="45"/>
      <c r="F288" s="45"/>
      <c r="G288" s="45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5"/>
      <c r="B290" s="45"/>
      <c r="C290" s="45"/>
      <c r="D290" s="45"/>
      <c r="E290" s="45"/>
      <c r="F290" s="45"/>
      <c r="G290" s="45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5"/>
      <c r="B292" s="45"/>
      <c r="C292" s="45"/>
      <c r="D292" s="45"/>
      <c r="E292" s="45"/>
      <c r="F292" s="45"/>
      <c r="G292" s="45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5"/>
      <c r="B294" s="45"/>
      <c r="C294" s="45"/>
      <c r="D294" s="45"/>
      <c r="E294" s="45"/>
      <c r="F294" s="45"/>
      <c r="G294" s="45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D296" s="45"/>
      <c r="E296" s="45"/>
      <c r="F296" s="45"/>
      <c r="G296" s="45"/>
    </row>
    <row r="297" spans="1:7" x14ac:dyDescent="0.2">
      <c r="D297" s="45"/>
      <c r="E297" s="45"/>
      <c r="F297" s="45"/>
      <c r="G297" s="45"/>
    </row>
    <row r="298" spans="1:7" x14ac:dyDescent="0.2">
      <c r="D298" s="45"/>
      <c r="E298" s="45"/>
      <c r="F298" s="45"/>
      <c r="G298" s="45"/>
    </row>
    <row r="299" spans="1:7" x14ac:dyDescent="0.2">
      <c r="D299" s="45"/>
      <c r="E299" s="45"/>
      <c r="F299" s="45"/>
      <c r="G299" s="45"/>
    </row>
    <row r="300" spans="1:7" x14ac:dyDescent="0.2">
      <c r="D300" s="45"/>
      <c r="E300" s="45"/>
      <c r="F300" s="45"/>
      <c r="G300" s="45"/>
    </row>
    <row r="301" spans="1:7" x14ac:dyDescent="0.2">
      <c r="D301" s="45"/>
      <c r="E301" s="45"/>
      <c r="F301" s="45"/>
      <c r="G301" s="45"/>
    </row>
    <row r="302" spans="1:7" x14ac:dyDescent="0.2">
      <c r="D302" s="45"/>
      <c r="E302" s="45"/>
      <c r="F302" s="45"/>
      <c r="G302" s="45"/>
    </row>
    <row r="303" spans="1:7" x14ac:dyDescent="0.2">
      <c r="D303" s="45"/>
      <c r="E303" s="45"/>
      <c r="F303" s="45"/>
      <c r="G303" s="45"/>
    </row>
    <row r="304" spans="1:7" x14ac:dyDescent="0.2">
      <c r="D304" s="45"/>
      <c r="E304" s="45"/>
      <c r="F304" s="45"/>
      <c r="G304" s="45"/>
    </row>
    <row r="305" spans="4:7" x14ac:dyDescent="0.2">
      <c r="D305" s="45"/>
      <c r="E305" s="45"/>
      <c r="F305" s="45"/>
      <c r="G305" s="45"/>
    </row>
    <row r="306" spans="4:7" x14ac:dyDescent="0.2">
      <c r="D306" s="45"/>
      <c r="E306" s="45"/>
      <c r="F306" s="45"/>
      <c r="G306" s="45"/>
    </row>
    <row r="307" spans="4:7" x14ac:dyDescent="0.2">
      <c r="D307" s="45"/>
      <c r="E307" s="45"/>
      <c r="F307" s="45"/>
      <c r="G307" s="45"/>
    </row>
    <row r="308" spans="4:7" x14ac:dyDescent="0.2">
      <c r="D308" s="45"/>
      <c r="E308" s="45"/>
      <c r="F308" s="45"/>
      <c r="G308" s="45"/>
    </row>
    <row r="309" spans="4:7" x14ac:dyDescent="0.2">
      <c r="D309" s="45"/>
      <c r="E309" s="45"/>
      <c r="F309" s="45"/>
      <c r="G309" s="45"/>
    </row>
    <row r="310" spans="4:7" x14ac:dyDescent="0.2">
      <c r="D310" s="45"/>
      <c r="E310" s="45"/>
      <c r="F310" s="45"/>
      <c r="G310" s="45"/>
    </row>
    <row r="311" spans="4:7" x14ac:dyDescent="0.2">
      <c r="D311" s="45"/>
      <c r="E311" s="45"/>
      <c r="F311" s="45"/>
      <c r="G311" s="45"/>
    </row>
    <row r="312" spans="4:7" x14ac:dyDescent="0.2">
      <c r="D312" s="45"/>
      <c r="E312" s="45"/>
      <c r="F312" s="45"/>
      <c r="G312" s="45"/>
    </row>
    <row r="313" spans="4:7" x14ac:dyDescent="0.2">
      <c r="D313" s="45"/>
      <c r="E313" s="45"/>
      <c r="F313" s="45"/>
      <c r="G313" s="45"/>
    </row>
    <row r="314" spans="4:7" x14ac:dyDescent="0.2">
      <c r="D314" s="45"/>
      <c r="E314" s="45"/>
      <c r="F314" s="45"/>
      <c r="G314" s="45"/>
    </row>
    <row r="315" spans="4:7" x14ac:dyDescent="0.2">
      <c r="D315" s="45"/>
      <c r="E315" s="45"/>
      <c r="F315" s="45"/>
      <c r="G315" s="45"/>
    </row>
    <row r="316" spans="4:7" x14ac:dyDescent="0.2">
      <c r="D316" s="45"/>
      <c r="E316" s="45"/>
      <c r="F316" s="45"/>
      <c r="G316" s="45"/>
    </row>
    <row r="317" spans="4:7" x14ac:dyDescent="0.2">
      <c r="D317" s="45"/>
      <c r="E317" s="45"/>
      <c r="F317" s="45"/>
      <c r="G317" s="45"/>
    </row>
    <row r="318" spans="4:7" x14ac:dyDescent="0.2">
      <c r="D318" s="45"/>
      <c r="E318" s="45"/>
      <c r="F318" s="45"/>
      <c r="G318" s="45"/>
    </row>
    <row r="319" spans="4:7" x14ac:dyDescent="0.2">
      <c r="D319" s="45"/>
      <c r="E319" s="45"/>
      <c r="F319" s="45"/>
      <c r="G319" s="45"/>
    </row>
    <row r="320" spans="4:7" x14ac:dyDescent="0.2">
      <c r="D320" s="45"/>
      <c r="E320" s="45"/>
      <c r="F320" s="45"/>
      <c r="G320" s="45"/>
    </row>
    <row r="321" spans="4:7" x14ac:dyDescent="0.2">
      <c r="D321" s="45"/>
      <c r="E321" s="45"/>
      <c r="F321" s="45"/>
      <c r="G321" s="45"/>
    </row>
    <row r="322" spans="4:7" x14ac:dyDescent="0.2">
      <c r="D322" s="45"/>
      <c r="E322" s="45"/>
      <c r="F322" s="45"/>
      <c r="G322" s="45"/>
    </row>
    <row r="323" spans="4:7" x14ac:dyDescent="0.2">
      <c r="D323" s="45"/>
      <c r="E323" s="45"/>
      <c r="F323" s="45"/>
      <c r="G323" s="45"/>
    </row>
    <row r="324" spans="4:7" x14ac:dyDescent="0.2">
      <c r="D324" s="45"/>
      <c r="E324" s="45"/>
      <c r="F324" s="45"/>
      <c r="G324" s="45"/>
    </row>
    <row r="325" spans="4:7" x14ac:dyDescent="0.2">
      <c r="D325" s="45"/>
      <c r="E325" s="45"/>
      <c r="F325" s="45"/>
      <c r="G325" s="45"/>
    </row>
    <row r="326" spans="4:7" x14ac:dyDescent="0.2">
      <c r="D326" s="45"/>
      <c r="G326" s="45"/>
    </row>
    <row r="327" spans="4:7" x14ac:dyDescent="0.2">
      <c r="D327" s="45"/>
      <c r="G327" s="45"/>
    </row>
  </sheetData>
  <mergeCells count="30">
    <mergeCell ref="I72:S72"/>
    <mergeCell ref="J81:S81"/>
    <mergeCell ref="H72:H83"/>
    <mergeCell ref="I61:S61"/>
    <mergeCell ref="J68:S68"/>
    <mergeCell ref="I49:S49"/>
    <mergeCell ref="J57:S57"/>
    <mergeCell ref="H61:H70"/>
    <mergeCell ref="I41:S41"/>
    <mergeCell ref="H41:H47"/>
    <mergeCell ref="J45:S45"/>
    <mergeCell ref="H49:H59"/>
    <mergeCell ref="I5:S5"/>
    <mergeCell ref="A5:C5"/>
    <mergeCell ref="E5:F5"/>
    <mergeCell ref="H5:H28"/>
    <mergeCell ref="H30:H39"/>
    <mergeCell ref="I30:S30"/>
    <mergeCell ref="E6:E11"/>
    <mergeCell ref="J37:S37"/>
    <mergeCell ref="J26:S26"/>
    <mergeCell ref="F23:F31"/>
    <mergeCell ref="E23:E31"/>
    <mergeCell ref="F6:F11"/>
    <mergeCell ref="I106:S106"/>
    <mergeCell ref="J116:S116"/>
    <mergeCell ref="H85:H104"/>
    <mergeCell ref="I85:S85"/>
    <mergeCell ref="J102:S102"/>
    <mergeCell ref="H106:H118"/>
  </mergeCells>
  <conditionalFormatting sqref="R7:R24">
    <cfRule type="expression" dxfId="227" priority="1">
      <formula>R7="YH"</formula>
    </cfRule>
    <cfRule type="expression" dxfId="226" priority="2">
      <formula>R7="YL"</formula>
    </cfRule>
    <cfRule type="expression" dxfId="225" priority="3">
      <formula>R7="RL"</formula>
    </cfRule>
    <cfRule type="expression" dxfId="224" priority="4">
      <formula>R7="RH"</formula>
    </cfRule>
  </conditionalFormatting>
  <pageMargins left="0.25" right="0.25" top="0.75" bottom="0.75" header="0.3" footer="0.3"/>
  <pageSetup paperSize="17" scale="10" orientation="landscape" r:id="rId1"/>
  <drawing r:id="rId2"/>
  <legacyDrawing r:id="rId3"/>
  <controls>
    <mc:AlternateContent xmlns:mc="http://schemas.openxmlformats.org/markup-compatibility/2006">
      <mc:Choice Requires="x14">
        <control shapeId="6146" r:id="rId4" name="Test_Button">
          <controlPr defaultSize="0" autoLine="0" r:id="rId5">
            <anchor moveWithCells="1">
              <from>
                <xdr:col>5</xdr:col>
                <xdr:colOff>47625</xdr:colOff>
                <xdr:row>41</xdr:row>
                <xdr:rowOff>400050</xdr:rowOff>
              </from>
              <to>
                <xdr:col>5</xdr:col>
                <xdr:colOff>1647825</xdr:colOff>
                <xdr:row>42</xdr:row>
                <xdr:rowOff>38100</xdr:rowOff>
              </to>
            </anchor>
          </controlPr>
        </control>
      </mc:Choice>
      <mc:Fallback>
        <control shapeId="6146" r:id="rId4" name="Test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HY63"/>
  <sheetViews>
    <sheetView topLeftCell="BF16" zoomScaleNormal="100" workbookViewId="0">
      <selection activeCell="BR52" sqref="BR52"/>
    </sheetView>
  </sheetViews>
  <sheetFormatPr defaultRowHeight="14.25" x14ac:dyDescent="0.2"/>
  <cols>
    <col min="1" max="1" width="4.125" customWidth="1"/>
    <col min="2" max="2" width="7.5" style="22" bestFit="1" customWidth="1"/>
    <col min="3" max="3" width="7.5" style="22" customWidth="1"/>
    <col min="4" max="5" width="7.25" style="22" bestFit="1" customWidth="1"/>
    <col min="6" max="27" width="7.25" style="22" customWidth="1"/>
    <col min="28" max="28" width="3.125" bestFit="1" customWidth="1"/>
    <col min="29" max="29" width="10.5" customWidth="1"/>
    <col min="30" max="30" width="10.5" style="29" customWidth="1"/>
    <col min="31" max="32" width="7.25" style="29" bestFit="1" customWidth="1"/>
    <col min="33" max="33" width="7.25" style="29" customWidth="1"/>
    <col min="34" max="35" width="7.25" style="29" bestFit="1" customWidth="1"/>
    <col min="36" max="45" width="7.25" style="29" customWidth="1"/>
    <col min="46" max="47" width="7.25" style="29" bestFit="1" customWidth="1"/>
    <col min="48" max="48" width="3" customWidth="1"/>
    <col min="49" max="49" width="13.875" bestFit="1" customWidth="1"/>
    <col min="50" max="50" width="7.25" bestFit="1" customWidth="1"/>
    <col min="51" max="51" width="7.5" bestFit="1" customWidth="1"/>
    <col min="52" max="52" width="7.25" bestFit="1" customWidth="1"/>
    <col min="53" max="53" width="7.25" customWidth="1"/>
    <col min="54" max="54" width="5.125" customWidth="1"/>
    <col min="55" max="55" width="13.125" bestFit="1" customWidth="1"/>
    <col min="56" max="57" width="7.5" bestFit="1" customWidth="1"/>
    <col min="58" max="58" width="11.75" bestFit="1" customWidth="1"/>
    <col min="59" max="59" width="10" bestFit="1" customWidth="1"/>
    <col min="60" max="61" width="9.75" bestFit="1" customWidth="1"/>
    <col min="62" max="62" width="7.25" bestFit="1" customWidth="1"/>
    <col min="63" max="63" width="3.375" customWidth="1"/>
    <col min="64" max="64" width="13.125" bestFit="1" customWidth="1"/>
    <col min="65" max="65" width="11.625" bestFit="1" customWidth="1"/>
    <col min="66" max="66" width="10.5" bestFit="1" customWidth="1"/>
    <col min="67" max="73" width="7.25" bestFit="1" customWidth="1"/>
    <col min="74" max="74" width="7.5" bestFit="1" customWidth="1"/>
    <col min="75" max="76" width="7.25" bestFit="1" customWidth="1"/>
    <col min="77" max="77" width="3.5" customWidth="1"/>
    <col min="78" max="78" width="8.75" bestFit="1" customWidth="1"/>
    <col min="79" max="98" width="7.75" customWidth="1"/>
    <col min="99" max="99" width="10.25" customWidth="1"/>
    <col min="100" max="113" width="7.75" customWidth="1"/>
    <col min="114" max="114" width="7.75" bestFit="1" customWidth="1"/>
    <col min="115" max="115" width="10" bestFit="1" customWidth="1"/>
    <col min="116" max="116" width="12.25" bestFit="1" customWidth="1"/>
    <col min="118" max="118" width="10.5" customWidth="1"/>
    <col min="119" max="126" width="8.5" bestFit="1" customWidth="1"/>
    <col min="135" max="135" width="10" bestFit="1" customWidth="1"/>
    <col min="136" max="136" width="13.125" bestFit="1" customWidth="1"/>
    <col min="137" max="137" width="3.875" customWidth="1"/>
    <col min="159" max="159" width="10" bestFit="1" customWidth="1"/>
    <col min="160" max="160" width="12.25" bestFit="1" customWidth="1"/>
    <col min="167" max="167" width="10" bestFit="1" customWidth="1"/>
    <col min="168" max="168" width="12.25" bestFit="1" customWidth="1"/>
    <col min="172" max="172" width="12.25" bestFit="1" customWidth="1"/>
    <col min="174" max="174" width="10.5" customWidth="1"/>
    <col min="175" max="189" width="8.5" bestFit="1" customWidth="1"/>
    <col min="190" max="190" width="10" bestFit="1" customWidth="1"/>
    <col min="191" max="191" width="11.75" bestFit="1" customWidth="1"/>
    <col min="192" max="192" width="8.5" customWidth="1"/>
    <col min="193" max="193" width="10.5" customWidth="1"/>
    <col min="194" max="195" width="3.75" bestFit="1" customWidth="1"/>
    <col min="196" max="197" width="8.25" bestFit="1" customWidth="1"/>
    <col min="198" max="199" width="3.75" bestFit="1" customWidth="1"/>
    <col min="200" max="201" width="8.25" bestFit="1" customWidth="1"/>
    <col min="202" max="203" width="3.75" bestFit="1" customWidth="1"/>
    <col min="204" max="205" width="8.25" bestFit="1" customWidth="1"/>
    <col min="206" max="207" width="3.75" bestFit="1" customWidth="1"/>
    <col min="208" max="209" width="8.25" bestFit="1" customWidth="1"/>
    <col min="210" max="211" width="3.75" bestFit="1" customWidth="1"/>
    <col min="212" max="213" width="6.125" bestFit="1" customWidth="1"/>
    <col min="214" max="215" width="3.75" bestFit="1" customWidth="1"/>
    <col min="216" max="217" width="6.125" bestFit="1" customWidth="1"/>
  </cols>
  <sheetData>
    <row r="1" spans="2:233" x14ac:dyDescent="0.2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2"/>
      <c r="AC1" s="42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76"/>
      <c r="FN1" s="76"/>
      <c r="FO1" s="76"/>
      <c r="FP1" s="76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91"/>
      <c r="GK1" s="91"/>
      <c r="GL1" s="91"/>
      <c r="GM1" s="91"/>
      <c r="GN1" s="91"/>
      <c r="GO1" s="91"/>
      <c r="GP1" s="91"/>
      <c r="GQ1" s="91"/>
      <c r="GR1" s="91"/>
      <c r="GS1" s="91"/>
      <c r="GT1" s="91"/>
      <c r="GU1" s="91"/>
      <c r="GV1" s="91"/>
      <c r="GW1" s="91"/>
      <c r="GX1" s="91"/>
      <c r="GY1" s="91"/>
      <c r="GZ1" s="91"/>
      <c r="HA1" s="91"/>
      <c r="HB1" s="91"/>
      <c r="HC1" s="91"/>
      <c r="HD1" s="91"/>
      <c r="HE1" s="91"/>
      <c r="HF1" s="91"/>
      <c r="HG1" s="91"/>
      <c r="HH1" s="91"/>
      <c r="HI1" s="91"/>
      <c r="HJ1" s="91"/>
      <c r="HK1" s="91"/>
      <c r="HL1" s="91"/>
      <c r="HM1" s="91"/>
      <c r="HN1" s="91"/>
      <c r="HO1" s="91"/>
      <c r="HP1" s="91"/>
      <c r="HQ1" s="91"/>
      <c r="HR1" s="91"/>
      <c r="HS1" s="91"/>
      <c r="HT1" s="91"/>
      <c r="HU1" s="91"/>
      <c r="HV1" s="91"/>
      <c r="HW1" s="91"/>
      <c r="HX1" s="91"/>
      <c r="HY1" s="91"/>
    </row>
    <row r="2" spans="2:233" ht="198" customHeight="1" x14ac:dyDescent="0.2">
      <c r="B2" s="6" t="s">
        <v>145</v>
      </c>
      <c r="C2" s="6" t="s">
        <v>260</v>
      </c>
      <c r="D2" s="7" t="s">
        <v>261</v>
      </c>
      <c r="E2" s="7" t="s">
        <v>262</v>
      </c>
      <c r="F2" s="7" t="s">
        <v>263</v>
      </c>
      <c r="G2" s="7" t="s">
        <v>264</v>
      </c>
      <c r="H2" s="7" t="s">
        <v>265</v>
      </c>
      <c r="I2" s="7" t="s">
        <v>266</v>
      </c>
      <c r="J2" s="7" t="s">
        <v>267</v>
      </c>
      <c r="K2" s="7" t="s">
        <v>268</v>
      </c>
      <c r="L2" s="7" t="s">
        <v>269</v>
      </c>
      <c r="M2" s="7" t="s">
        <v>270</v>
      </c>
      <c r="N2" s="7" t="s">
        <v>271</v>
      </c>
      <c r="O2" s="7" t="s">
        <v>272</v>
      </c>
      <c r="P2" s="7" t="s">
        <v>273</v>
      </c>
      <c r="Q2" s="7" t="s">
        <v>274</v>
      </c>
      <c r="R2" s="7" t="s">
        <v>275</v>
      </c>
      <c r="S2" s="7" t="s">
        <v>276</v>
      </c>
      <c r="T2" s="7" t="s">
        <v>277</v>
      </c>
      <c r="U2" s="7" t="s">
        <v>221</v>
      </c>
      <c r="V2" s="7" t="s">
        <v>165</v>
      </c>
      <c r="W2" s="7" t="s">
        <v>166</v>
      </c>
      <c r="X2" s="7" t="s">
        <v>222</v>
      </c>
      <c r="Y2" s="7" t="s">
        <v>167</v>
      </c>
      <c r="Z2" s="7" t="s">
        <v>168</v>
      </c>
      <c r="AA2" s="7" t="s">
        <v>163</v>
      </c>
      <c r="AC2" s="6" t="s">
        <v>145</v>
      </c>
      <c r="AD2" s="23" t="s">
        <v>211</v>
      </c>
      <c r="AE2" s="24" t="s">
        <v>159</v>
      </c>
      <c r="AF2" s="24" t="s">
        <v>160</v>
      </c>
      <c r="AG2" s="24" t="s">
        <v>233</v>
      </c>
      <c r="AH2" s="24" t="s">
        <v>234</v>
      </c>
      <c r="AI2" s="24" t="s">
        <v>235</v>
      </c>
      <c r="AJ2" s="24" t="s">
        <v>284</v>
      </c>
      <c r="AK2" s="24" t="s">
        <v>285</v>
      </c>
      <c r="AL2" s="24" t="s">
        <v>286</v>
      </c>
      <c r="AM2" s="24" t="s">
        <v>230</v>
      </c>
      <c r="AN2" s="24" t="s">
        <v>231</v>
      </c>
      <c r="AO2" s="24" t="s">
        <v>232</v>
      </c>
      <c r="AP2" s="24" t="s">
        <v>236</v>
      </c>
      <c r="AQ2" s="24" t="s">
        <v>237</v>
      </c>
      <c r="AR2" s="24" t="s">
        <v>238</v>
      </c>
      <c r="AS2" s="24" t="s">
        <v>281</v>
      </c>
      <c r="AT2" s="24" t="s">
        <v>282</v>
      </c>
      <c r="AU2" s="24" t="s">
        <v>283</v>
      </c>
      <c r="AV2" s="4"/>
      <c r="AW2" s="6" t="s">
        <v>161</v>
      </c>
      <c r="AX2" s="6" t="s">
        <v>279</v>
      </c>
      <c r="AY2" s="7" t="s">
        <v>252</v>
      </c>
      <c r="AZ2" s="8" t="s">
        <v>253</v>
      </c>
      <c r="BA2" s="7" t="s">
        <v>280</v>
      </c>
      <c r="BC2" s="6" t="s">
        <v>199</v>
      </c>
      <c r="BD2" s="7" t="s">
        <v>292</v>
      </c>
      <c r="BE2" s="8" t="s">
        <v>29</v>
      </c>
      <c r="BF2" s="5" t="s">
        <v>169</v>
      </c>
      <c r="BG2" s="5" t="s">
        <v>287</v>
      </c>
      <c r="BH2" s="35" t="s">
        <v>294</v>
      </c>
      <c r="BI2" s="35" t="s">
        <v>295</v>
      </c>
      <c r="BJ2" s="35" t="s">
        <v>296</v>
      </c>
      <c r="BL2" s="6" t="s">
        <v>199</v>
      </c>
      <c r="BM2" s="7" t="s">
        <v>361</v>
      </c>
      <c r="BN2" s="7" t="s">
        <v>360</v>
      </c>
      <c r="BO2" s="7" t="s">
        <v>323</v>
      </c>
      <c r="BP2" s="7" t="s">
        <v>317</v>
      </c>
      <c r="BQ2" s="7" t="s">
        <v>351</v>
      </c>
      <c r="BR2" s="7" t="s">
        <v>349</v>
      </c>
      <c r="BS2" s="7" t="s">
        <v>350</v>
      </c>
      <c r="BT2" s="7" t="s">
        <v>352</v>
      </c>
      <c r="BU2" s="7" t="s">
        <v>343</v>
      </c>
      <c r="BV2" s="7" t="s">
        <v>344</v>
      </c>
      <c r="BW2" s="7" t="s">
        <v>345</v>
      </c>
      <c r="BX2" s="8" t="s">
        <v>346</v>
      </c>
      <c r="BY2" s="4"/>
      <c r="BZ2" s="47" t="s">
        <v>369</v>
      </c>
      <c r="CA2" s="35" t="s">
        <v>410</v>
      </c>
      <c r="CB2" s="35" t="s">
        <v>411</v>
      </c>
      <c r="CC2" s="35" t="s">
        <v>412</v>
      </c>
      <c r="CD2" s="35" t="s">
        <v>413</v>
      </c>
      <c r="CE2" s="35" t="s">
        <v>418</v>
      </c>
      <c r="CF2" s="35" t="s">
        <v>419</v>
      </c>
      <c r="CG2" s="35" t="s">
        <v>420</v>
      </c>
      <c r="CH2" s="35" t="s">
        <v>421</v>
      </c>
      <c r="CI2" s="35" t="s">
        <v>373</v>
      </c>
      <c r="CJ2" s="35" t="s">
        <v>374</v>
      </c>
      <c r="CK2" s="35" t="s">
        <v>375</v>
      </c>
      <c r="CL2" s="35" t="s">
        <v>376</v>
      </c>
      <c r="CM2" s="35" t="s">
        <v>377</v>
      </c>
      <c r="CN2" s="35" t="s">
        <v>378</v>
      </c>
      <c r="CO2" s="35" t="s">
        <v>379</v>
      </c>
      <c r="CP2" s="35" t="s">
        <v>380</v>
      </c>
      <c r="CQ2" s="35" t="s">
        <v>381</v>
      </c>
      <c r="CR2" s="35" t="s">
        <v>382</v>
      </c>
      <c r="CS2" s="35" t="s">
        <v>383</v>
      </c>
      <c r="CT2" s="35" t="s">
        <v>422</v>
      </c>
      <c r="CU2" s="35" t="s">
        <v>384</v>
      </c>
      <c r="CV2" s="35" t="s">
        <v>385</v>
      </c>
      <c r="CW2" s="35" t="s">
        <v>386</v>
      </c>
      <c r="CX2" s="35" t="s">
        <v>387</v>
      </c>
      <c r="CY2" s="35" t="s">
        <v>388</v>
      </c>
      <c r="CZ2" s="35" t="s">
        <v>389</v>
      </c>
      <c r="DA2" s="35" t="s">
        <v>390</v>
      </c>
      <c r="DB2" s="35" t="s">
        <v>391</v>
      </c>
      <c r="DC2" s="35" t="s">
        <v>392</v>
      </c>
      <c r="DD2" s="35" t="s">
        <v>393</v>
      </c>
      <c r="DE2" s="35" t="s">
        <v>394</v>
      </c>
      <c r="DF2" s="35" t="s">
        <v>395</v>
      </c>
      <c r="DG2" s="35" t="s">
        <v>396</v>
      </c>
      <c r="DH2" s="35" t="s">
        <v>397</v>
      </c>
      <c r="DI2" s="35" t="s">
        <v>398</v>
      </c>
      <c r="DJ2" s="48" t="s">
        <v>399</v>
      </c>
      <c r="DK2" s="35" t="s">
        <v>429</v>
      </c>
      <c r="DL2" s="35" t="s">
        <v>361</v>
      </c>
      <c r="DM2" s="4"/>
      <c r="DN2" s="6" t="s">
        <v>369</v>
      </c>
      <c r="DO2" s="7" t="s">
        <v>437</v>
      </c>
      <c r="DP2" s="7" t="s">
        <v>438</v>
      </c>
      <c r="DQ2" s="7" t="s">
        <v>439</v>
      </c>
      <c r="DR2" s="7" t="s">
        <v>440</v>
      </c>
      <c r="DS2" s="7" t="s">
        <v>441</v>
      </c>
      <c r="DT2" s="7" t="s">
        <v>442</v>
      </c>
      <c r="DU2" s="7" t="s">
        <v>443</v>
      </c>
      <c r="DV2" s="8" t="s">
        <v>444</v>
      </c>
      <c r="DW2" s="7" t="s">
        <v>446</v>
      </c>
      <c r="DX2" s="7" t="s">
        <v>447</v>
      </c>
      <c r="DY2" s="7" t="s">
        <v>448</v>
      </c>
      <c r="DZ2" s="7" t="s">
        <v>449</v>
      </c>
      <c r="EA2" s="7" t="s">
        <v>450</v>
      </c>
      <c r="EB2" s="7" t="s">
        <v>451</v>
      </c>
      <c r="EC2" s="7" t="s">
        <v>452</v>
      </c>
      <c r="ED2" s="7" t="s">
        <v>453</v>
      </c>
      <c r="EE2" s="7" t="s">
        <v>360</v>
      </c>
      <c r="EF2" s="7" t="s">
        <v>361</v>
      </c>
      <c r="EH2" s="47" t="s">
        <v>369</v>
      </c>
      <c r="EI2" s="47" t="s">
        <v>488</v>
      </c>
      <c r="EJ2" s="47" t="s">
        <v>489</v>
      </c>
      <c r="EK2" s="47" t="s">
        <v>490</v>
      </c>
      <c r="EL2" s="47" t="s">
        <v>491</v>
      </c>
      <c r="EM2" s="47" t="s">
        <v>492</v>
      </c>
      <c r="EN2" s="47" t="s">
        <v>493</v>
      </c>
      <c r="EO2" s="47" t="s">
        <v>494</v>
      </c>
      <c r="EP2" s="47" t="s">
        <v>509</v>
      </c>
      <c r="EQ2" s="35" t="s">
        <v>476</v>
      </c>
      <c r="ER2" s="35" t="s">
        <v>477</v>
      </c>
      <c r="ES2" s="35" t="s">
        <v>478</v>
      </c>
      <c r="ET2" s="35" t="s">
        <v>479</v>
      </c>
      <c r="EU2" s="35" t="s">
        <v>480</v>
      </c>
      <c r="EV2" s="35" t="s">
        <v>481</v>
      </c>
      <c r="EW2" s="35" t="s">
        <v>482</v>
      </c>
      <c r="EX2" s="35" t="s">
        <v>483</v>
      </c>
      <c r="EY2" s="35" t="s">
        <v>505</v>
      </c>
      <c r="EZ2" s="35" t="s">
        <v>506</v>
      </c>
      <c r="FA2" s="35" t="s">
        <v>507</v>
      </c>
      <c r="FB2" s="35" t="s">
        <v>508</v>
      </c>
      <c r="FC2" s="35" t="s">
        <v>484</v>
      </c>
      <c r="FD2" s="35" t="s">
        <v>485</v>
      </c>
      <c r="FE2" s="35" t="s">
        <v>486</v>
      </c>
      <c r="FF2" s="35" t="s">
        <v>487</v>
      </c>
      <c r="FG2" s="35" t="s">
        <v>496</v>
      </c>
      <c r="FH2" s="35" t="s">
        <v>497</v>
      </c>
      <c r="FI2" s="35" t="s">
        <v>498</v>
      </c>
      <c r="FJ2" s="35" t="s">
        <v>499</v>
      </c>
      <c r="FK2" s="35" t="s">
        <v>500</v>
      </c>
      <c r="FL2" s="35" t="s">
        <v>501</v>
      </c>
      <c r="FM2" s="35" t="s">
        <v>502</v>
      </c>
      <c r="FN2" s="35" t="s">
        <v>503</v>
      </c>
      <c r="FO2" s="35" t="s">
        <v>429</v>
      </c>
      <c r="FP2" s="35" t="s">
        <v>361</v>
      </c>
      <c r="FR2" s="6" t="s">
        <v>369</v>
      </c>
      <c r="FS2" s="7" t="s">
        <v>530</v>
      </c>
      <c r="FT2" s="7" t="s">
        <v>531</v>
      </c>
      <c r="FU2" s="7" t="s">
        <v>532</v>
      </c>
      <c r="FV2" s="7" t="s">
        <v>533</v>
      </c>
      <c r="FW2" s="7" t="s">
        <v>534</v>
      </c>
      <c r="FX2" s="7" t="s">
        <v>535</v>
      </c>
      <c r="FY2" s="7" t="s">
        <v>536</v>
      </c>
      <c r="FZ2" s="7" t="s">
        <v>540</v>
      </c>
      <c r="GA2" s="7" t="s">
        <v>541</v>
      </c>
      <c r="GB2" s="7" t="s">
        <v>542</v>
      </c>
      <c r="GC2" s="7" t="s">
        <v>543</v>
      </c>
      <c r="GD2" s="7" t="s">
        <v>544</v>
      </c>
      <c r="GE2" s="7" t="s">
        <v>545</v>
      </c>
      <c r="GF2" s="7" t="s">
        <v>546</v>
      </c>
      <c r="GG2" s="8" t="s">
        <v>547</v>
      </c>
      <c r="GH2" s="7" t="s">
        <v>360</v>
      </c>
      <c r="GI2" s="7" t="s">
        <v>361</v>
      </c>
      <c r="GK2" s="71" t="s">
        <v>369</v>
      </c>
      <c r="GL2" s="71" t="s">
        <v>572</v>
      </c>
      <c r="GM2" s="71" t="s">
        <v>573</v>
      </c>
      <c r="GN2" s="71" t="s">
        <v>574</v>
      </c>
      <c r="GO2" s="71" t="s">
        <v>575</v>
      </c>
      <c r="GP2" s="71" t="s">
        <v>576</v>
      </c>
      <c r="GQ2" s="71" t="s">
        <v>577</v>
      </c>
      <c r="GR2" s="71" t="s">
        <v>578</v>
      </c>
      <c r="GS2" s="71" t="s">
        <v>579</v>
      </c>
      <c r="GT2" s="71" t="s">
        <v>580</v>
      </c>
      <c r="GU2" s="71" t="s">
        <v>581</v>
      </c>
      <c r="GV2" s="71" t="s">
        <v>582</v>
      </c>
      <c r="GW2" s="71" t="s">
        <v>583</v>
      </c>
      <c r="GX2" s="71" t="s">
        <v>584</v>
      </c>
      <c r="GY2" s="71" t="s">
        <v>585</v>
      </c>
      <c r="GZ2" s="71" t="s">
        <v>586</v>
      </c>
      <c r="HA2" s="71" t="s">
        <v>587</v>
      </c>
      <c r="HB2" s="71" t="s">
        <v>588</v>
      </c>
      <c r="HC2" s="71" t="s">
        <v>589</v>
      </c>
      <c r="HD2" s="71" t="s">
        <v>590</v>
      </c>
      <c r="HE2" s="71" t="s">
        <v>591</v>
      </c>
      <c r="HF2" s="71" t="s">
        <v>592</v>
      </c>
      <c r="HG2" s="71" t="s">
        <v>593</v>
      </c>
      <c r="HH2" s="71" t="s">
        <v>594</v>
      </c>
      <c r="HI2" s="71" t="s">
        <v>595</v>
      </c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</row>
    <row r="3" spans="2:233" ht="17.45" customHeight="1" x14ac:dyDescent="0.2">
      <c r="B3" s="9">
        <v>1</v>
      </c>
      <c r="C3" s="9">
        <v>2</v>
      </c>
      <c r="D3" s="5">
        <v>3</v>
      </c>
      <c r="E3" s="5">
        <v>4</v>
      </c>
      <c r="F3" s="9">
        <v>5</v>
      </c>
      <c r="G3" s="9">
        <v>6</v>
      </c>
      <c r="H3" s="5">
        <v>7</v>
      </c>
      <c r="I3" s="5">
        <v>8</v>
      </c>
      <c r="J3" s="5">
        <v>9</v>
      </c>
      <c r="K3" s="9">
        <v>10</v>
      </c>
      <c r="L3" s="9">
        <v>11</v>
      </c>
      <c r="M3" s="9">
        <v>12</v>
      </c>
      <c r="N3" s="9">
        <v>13</v>
      </c>
      <c r="O3" s="9">
        <v>14</v>
      </c>
      <c r="P3" s="9">
        <v>15</v>
      </c>
      <c r="Q3" s="9">
        <v>16</v>
      </c>
      <c r="R3" s="9">
        <v>17</v>
      </c>
      <c r="S3" s="9">
        <v>18</v>
      </c>
      <c r="T3" s="9">
        <v>19</v>
      </c>
      <c r="U3" s="9">
        <v>20</v>
      </c>
      <c r="V3" s="9">
        <v>21</v>
      </c>
      <c r="W3" s="9">
        <v>22</v>
      </c>
      <c r="X3" s="9">
        <v>23</v>
      </c>
      <c r="Y3" s="9">
        <v>24</v>
      </c>
      <c r="Z3" s="9">
        <v>25</v>
      </c>
      <c r="AA3" s="5">
        <v>26</v>
      </c>
      <c r="AC3" s="30">
        <v>1</v>
      </c>
      <c r="AD3" s="30">
        <v>2</v>
      </c>
      <c r="AE3" s="31">
        <v>3</v>
      </c>
      <c r="AF3" s="31">
        <v>4</v>
      </c>
      <c r="AG3" s="30">
        <v>5</v>
      </c>
      <c r="AH3" s="30">
        <v>6</v>
      </c>
      <c r="AI3" s="31">
        <v>7</v>
      </c>
      <c r="AJ3" s="31">
        <v>8</v>
      </c>
      <c r="AK3" s="31">
        <v>9</v>
      </c>
      <c r="AL3" s="31">
        <v>10</v>
      </c>
      <c r="AM3" s="31">
        <v>11</v>
      </c>
      <c r="AN3" s="31">
        <v>12</v>
      </c>
      <c r="AO3" s="31">
        <v>13</v>
      </c>
      <c r="AP3" s="31">
        <v>14</v>
      </c>
      <c r="AQ3" s="31">
        <v>15</v>
      </c>
      <c r="AR3" s="31">
        <v>16</v>
      </c>
      <c r="AS3" s="31">
        <v>17</v>
      </c>
      <c r="AT3" s="31">
        <v>18</v>
      </c>
      <c r="AU3" s="30">
        <v>19</v>
      </c>
      <c r="AW3" s="9">
        <v>1</v>
      </c>
      <c r="AX3" s="5">
        <v>2</v>
      </c>
      <c r="AY3" s="5">
        <v>3</v>
      </c>
      <c r="AZ3" s="5">
        <v>4</v>
      </c>
      <c r="BA3" s="5">
        <v>5</v>
      </c>
      <c r="BC3" s="18" t="s">
        <v>597</v>
      </c>
      <c r="BD3" s="2" t="s">
        <v>598</v>
      </c>
      <c r="BE3" s="37" t="s">
        <v>599</v>
      </c>
      <c r="BF3" s="75" t="s">
        <v>609</v>
      </c>
      <c r="BG3" s="2" t="s">
        <v>291</v>
      </c>
      <c r="BH3" s="2"/>
      <c r="BI3" s="2"/>
      <c r="BJ3" s="2">
        <v>1</v>
      </c>
      <c r="BL3" s="9">
        <v>1</v>
      </c>
      <c r="BM3" s="5">
        <v>2</v>
      </c>
      <c r="BN3" s="5">
        <v>3</v>
      </c>
      <c r="BO3" s="5">
        <v>4</v>
      </c>
      <c r="BP3" s="5">
        <v>5</v>
      </c>
      <c r="BQ3" s="5">
        <v>6</v>
      </c>
      <c r="BR3" s="5">
        <v>7</v>
      </c>
      <c r="BS3" s="5">
        <v>8</v>
      </c>
      <c r="BT3" s="5">
        <v>9</v>
      </c>
      <c r="BU3" s="5">
        <f>SC_Rod_Spec_Table[[#This Row],[Green Min Rod Length]]</f>
        <v>11</v>
      </c>
      <c r="BV3" s="5">
        <v>11</v>
      </c>
      <c r="BW3" s="5">
        <v>12</v>
      </c>
      <c r="BX3" s="36">
        <f>SC_Rod_Spec_Table[[#This Row],[Green Max Rod Length]]</f>
        <v>12</v>
      </c>
      <c r="BZ3" s="18">
        <v>1</v>
      </c>
      <c r="CA3" s="2">
        <v>2</v>
      </c>
      <c r="CB3" s="2">
        <v>3</v>
      </c>
      <c r="CC3" s="2">
        <v>4</v>
      </c>
      <c r="CD3" s="2">
        <v>5</v>
      </c>
      <c r="CE3" s="2">
        <v>6</v>
      </c>
      <c r="CF3" s="2">
        <v>7</v>
      </c>
      <c r="CG3" s="2">
        <v>8</v>
      </c>
      <c r="CH3" s="2">
        <v>9</v>
      </c>
      <c r="CI3" s="2">
        <v>10</v>
      </c>
      <c r="CJ3" s="2">
        <v>11</v>
      </c>
      <c r="CK3" s="2">
        <v>12</v>
      </c>
      <c r="CL3" s="2">
        <v>13</v>
      </c>
      <c r="CM3" s="2">
        <v>14</v>
      </c>
      <c r="CN3" s="2">
        <v>15</v>
      </c>
      <c r="CO3" s="2">
        <v>16</v>
      </c>
      <c r="CP3" s="2">
        <v>17</v>
      </c>
      <c r="CQ3" s="2">
        <v>18</v>
      </c>
      <c r="CR3" s="2">
        <v>19</v>
      </c>
      <c r="CS3" s="2">
        <v>20</v>
      </c>
      <c r="CT3" s="2">
        <v>21</v>
      </c>
      <c r="CU3" s="2">
        <v>22</v>
      </c>
      <c r="CV3" s="2">
        <v>23</v>
      </c>
      <c r="CW3" s="2">
        <v>24</v>
      </c>
      <c r="CX3" s="2">
        <v>25</v>
      </c>
      <c r="CY3" s="2">
        <v>26</v>
      </c>
      <c r="CZ3" s="2">
        <v>27</v>
      </c>
      <c r="DA3" s="2">
        <v>28</v>
      </c>
      <c r="DB3" s="2">
        <v>29</v>
      </c>
      <c r="DC3" s="2">
        <v>30</v>
      </c>
      <c r="DD3" s="2">
        <v>31</v>
      </c>
      <c r="DE3" s="2">
        <v>32</v>
      </c>
      <c r="DF3" s="2">
        <v>33</v>
      </c>
      <c r="DG3" s="2">
        <v>34</v>
      </c>
      <c r="DH3" s="2">
        <v>35</v>
      </c>
      <c r="DI3" s="2">
        <v>36</v>
      </c>
      <c r="DJ3" s="37">
        <v>37</v>
      </c>
      <c r="DK3" s="38">
        <v>38</v>
      </c>
      <c r="DL3" s="38">
        <v>39</v>
      </c>
      <c r="DN3" s="11">
        <v>1</v>
      </c>
      <c r="DO3" s="1">
        <v>2</v>
      </c>
      <c r="DP3" s="1">
        <v>3</v>
      </c>
      <c r="DQ3" s="1">
        <v>4</v>
      </c>
      <c r="DR3" s="1">
        <v>5</v>
      </c>
      <c r="DS3" s="1">
        <v>6</v>
      </c>
      <c r="DT3" s="1">
        <v>7</v>
      </c>
      <c r="DU3" s="1">
        <v>8</v>
      </c>
      <c r="DV3" s="54">
        <v>9</v>
      </c>
      <c r="DW3" s="12">
        <v>10</v>
      </c>
      <c r="DX3" s="12">
        <v>11</v>
      </c>
      <c r="DY3" s="12">
        <v>12</v>
      </c>
      <c r="DZ3" s="12">
        <v>13</v>
      </c>
      <c r="EA3" s="12">
        <v>14</v>
      </c>
      <c r="EB3" s="12">
        <v>15</v>
      </c>
      <c r="EC3" s="12">
        <v>16</v>
      </c>
      <c r="ED3" s="12">
        <v>17</v>
      </c>
      <c r="EE3" s="12">
        <v>18</v>
      </c>
      <c r="EF3" s="12">
        <v>19</v>
      </c>
      <c r="EH3" s="18">
        <v>1</v>
      </c>
      <c r="EI3" s="18">
        <v>2</v>
      </c>
      <c r="EJ3" s="18">
        <v>3</v>
      </c>
      <c r="EK3" s="18">
        <v>4</v>
      </c>
      <c r="EL3" s="18">
        <v>5</v>
      </c>
      <c r="EM3" s="18">
        <v>6</v>
      </c>
      <c r="EN3" s="18">
        <v>7</v>
      </c>
      <c r="EO3" s="18">
        <v>8</v>
      </c>
      <c r="EP3" s="18">
        <v>9</v>
      </c>
      <c r="EQ3" s="2">
        <v>10</v>
      </c>
      <c r="ER3" s="2">
        <v>11</v>
      </c>
      <c r="ES3" s="2">
        <v>12</v>
      </c>
      <c r="ET3" s="2">
        <v>13</v>
      </c>
      <c r="EU3" s="2">
        <v>14</v>
      </c>
      <c r="EV3" s="2">
        <v>15</v>
      </c>
      <c r="EW3" s="2">
        <v>16</v>
      </c>
      <c r="EX3" s="2">
        <v>17</v>
      </c>
      <c r="EY3" s="2">
        <v>18</v>
      </c>
      <c r="EZ3" s="2">
        <v>19</v>
      </c>
      <c r="FA3" s="2">
        <v>20</v>
      </c>
      <c r="FB3" s="2">
        <v>21</v>
      </c>
      <c r="FC3" s="2">
        <v>22</v>
      </c>
      <c r="FD3" s="2">
        <v>23</v>
      </c>
      <c r="FE3" s="2">
        <v>24</v>
      </c>
      <c r="FF3" s="2">
        <v>25</v>
      </c>
      <c r="FG3" s="38">
        <v>26</v>
      </c>
      <c r="FH3" s="38">
        <v>27</v>
      </c>
      <c r="FI3" s="38">
        <v>28</v>
      </c>
      <c r="FJ3" s="38">
        <v>29</v>
      </c>
      <c r="FK3" s="38">
        <v>30</v>
      </c>
      <c r="FL3" s="38">
        <v>31</v>
      </c>
      <c r="FM3" s="38">
        <v>32</v>
      </c>
      <c r="FN3" s="38">
        <v>33</v>
      </c>
      <c r="FO3" s="38">
        <v>34</v>
      </c>
      <c r="FP3" s="38">
        <v>35</v>
      </c>
      <c r="FR3" s="11">
        <v>1</v>
      </c>
      <c r="FS3" s="1">
        <v>2</v>
      </c>
      <c r="FT3" s="1">
        <v>3</v>
      </c>
      <c r="FU3" s="1">
        <v>4</v>
      </c>
      <c r="FV3" s="1">
        <v>5</v>
      </c>
      <c r="FW3" s="1">
        <v>6</v>
      </c>
      <c r="FX3" s="1">
        <v>7</v>
      </c>
      <c r="FY3" s="1">
        <v>8</v>
      </c>
      <c r="FZ3" s="1">
        <v>9</v>
      </c>
      <c r="GA3" s="1">
        <v>10</v>
      </c>
      <c r="GB3" s="1">
        <v>11</v>
      </c>
      <c r="GC3" s="1">
        <v>12</v>
      </c>
      <c r="GD3" s="1">
        <v>13</v>
      </c>
      <c r="GE3" s="1">
        <v>14</v>
      </c>
      <c r="GF3" s="1">
        <v>15</v>
      </c>
      <c r="GG3" s="54">
        <v>16</v>
      </c>
      <c r="GH3" s="73">
        <v>17</v>
      </c>
      <c r="GI3" s="73">
        <v>18</v>
      </c>
      <c r="GK3">
        <v>1</v>
      </c>
      <c r="GL3">
        <v>2</v>
      </c>
      <c r="GM3">
        <v>3</v>
      </c>
      <c r="GN3">
        <v>4</v>
      </c>
      <c r="GO3">
        <v>5</v>
      </c>
      <c r="GP3">
        <v>6</v>
      </c>
      <c r="GQ3">
        <v>7</v>
      </c>
      <c r="GR3">
        <v>8</v>
      </c>
      <c r="GS3">
        <v>9</v>
      </c>
      <c r="GT3">
        <v>10</v>
      </c>
      <c r="GU3">
        <v>11</v>
      </c>
      <c r="GV3">
        <v>12</v>
      </c>
      <c r="GW3">
        <v>13</v>
      </c>
      <c r="GX3">
        <v>14</v>
      </c>
      <c r="GY3">
        <v>15</v>
      </c>
      <c r="GZ3">
        <v>16</v>
      </c>
      <c r="HA3">
        <v>17</v>
      </c>
      <c r="HB3">
        <v>18</v>
      </c>
      <c r="HC3">
        <v>19</v>
      </c>
      <c r="HD3">
        <v>20</v>
      </c>
      <c r="HE3">
        <v>21</v>
      </c>
      <c r="HF3">
        <v>22</v>
      </c>
      <c r="HG3">
        <v>23</v>
      </c>
      <c r="HH3">
        <v>24</v>
      </c>
      <c r="HI3">
        <v>25</v>
      </c>
    </row>
    <row r="4" spans="2:233" x14ac:dyDescent="0.2">
      <c r="B4" s="18" t="s">
        <v>181</v>
      </c>
      <c r="C4" s="18">
        <v>0</v>
      </c>
      <c r="D4" s="2">
        <v>0.34399999999999997</v>
      </c>
      <c r="E4" s="2">
        <v>0.314</v>
      </c>
      <c r="F4" s="2">
        <v>0</v>
      </c>
      <c r="G4" s="2">
        <v>0.374</v>
      </c>
      <c r="H4" s="2">
        <v>0.35799999999999998</v>
      </c>
      <c r="I4" s="2">
        <v>0</v>
      </c>
      <c r="J4" s="2">
        <v>0.52200000000000002</v>
      </c>
      <c r="K4" s="2">
        <v>0.50600000000000001</v>
      </c>
      <c r="L4" s="18">
        <v>0</v>
      </c>
      <c r="M4" s="2">
        <v>0.34399999999999997</v>
      </c>
      <c r="N4" s="2">
        <v>0.314</v>
      </c>
      <c r="O4" s="2">
        <v>0</v>
      </c>
      <c r="P4" s="2">
        <v>0.374</v>
      </c>
      <c r="Q4" s="2">
        <v>0.35799999999999998</v>
      </c>
      <c r="R4" s="2">
        <v>0</v>
      </c>
      <c r="S4" s="2">
        <v>0.52200000000000002</v>
      </c>
      <c r="T4" s="2">
        <v>0.50600000000000001</v>
      </c>
      <c r="U4" s="19">
        <f>Spiral_Dims_Table[[#This Row],[C_D_15]]</f>
        <v>0</v>
      </c>
      <c r="V4" s="19">
        <f>Spiral_Dims_Table[[#This Row],[C_D_16]]</f>
        <v>0.374</v>
      </c>
      <c r="W4" s="19">
        <f>Spiral_Dims_Table[[#This Row],[C_D_17]]</f>
        <v>0.35799999999999998</v>
      </c>
      <c r="X4" s="19">
        <v>0</v>
      </c>
      <c r="Y4" s="19">
        <v>0</v>
      </c>
      <c r="Z4" s="19">
        <v>0</v>
      </c>
      <c r="AA4" s="2">
        <v>0.75</v>
      </c>
      <c r="AC4" s="18" t="s">
        <v>200</v>
      </c>
      <c r="AD4" s="25">
        <v>0</v>
      </c>
      <c r="AE4" s="26">
        <v>1.2110000000000001</v>
      </c>
      <c r="AF4" s="26">
        <v>1.1950000000000001</v>
      </c>
      <c r="AG4" s="26">
        <v>0</v>
      </c>
      <c r="AH4" s="26">
        <v>1.359</v>
      </c>
      <c r="AI4" s="26">
        <v>1.343</v>
      </c>
      <c r="AJ4" s="25">
        <v>0</v>
      </c>
      <c r="AK4" s="26">
        <v>1.2110000000000001</v>
      </c>
      <c r="AL4" s="26">
        <v>1.1950000000000001</v>
      </c>
      <c r="AM4" s="25">
        <v>0</v>
      </c>
      <c r="AN4" s="26">
        <v>1.2110000000000001</v>
      </c>
      <c r="AO4" s="26">
        <v>1.1950000000000001</v>
      </c>
      <c r="AP4" s="26">
        <v>0</v>
      </c>
      <c r="AQ4" s="26">
        <v>1.359</v>
      </c>
      <c r="AR4" s="26">
        <v>1.343</v>
      </c>
      <c r="AS4" s="25">
        <v>0</v>
      </c>
      <c r="AT4" s="26">
        <v>1.2110000000000001</v>
      </c>
      <c r="AU4" s="26">
        <v>1.1950000000000001</v>
      </c>
      <c r="AW4" s="11" t="s">
        <v>254</v>
      </c>
      <c r="AX4" s="2">
        <v>-0.01</v>
      </c>
      <c r="AY4" s="2">
        <v>-6.8999999999999999E-3</v>
      </c>
      <c r="AZ4" s="2">
        <v>6.8999999999999999E-3</v>
      </c>
      <c r="BA4" s="2">
        <v>0.01</v>
      </c>
      <c r="BC4" s="18" t="s">
        <v>608</v>
      </c>
      <c r="BD4" s="2" t="s">
        <v>614</v>
      </c>
      <c r="BE4" s="37" t="s">
        <v>615</v>
      </c>
      <c r="BF4" s="75" t="s">
        <v>616</v>
      </c>
      <c r="BG4" s="2" t="s">
        <v>291</v>
      </c>
      <c r="BH4" s="2"/>
      <c r="BI4" s="2"/>
      <c r="BJ4" s="2">
        <v>1</v>
      </c>
      <c r="BL4" s="18" t="s">
        <v>597</v>
      </c>
      <c r="BM4" s="2" t="s">
        <v>612</v>
      </c>
      <c r="BN4" s="2" t="s">
        <v>291</v>
      </c>
      <c r="BO4" s="2">
        <v>-0.14173228299999999</v>
      </c>
      <c r="BP4" s="2">
        <v>0.19600000000000001</v>
      </c>
      <c r="BQ4" s="2">
        <v>-1E-3</v>
      </c>
      <c r="BR4" s="2">
        <v>-1E-3</v>
      </c>
      <c r="BS4" s="2">
        <v>1E-3</v>
      </c>
      <c r="BT4" s="2">
        <v>1E-3</v>
      </c>
      <c r="BU4" s="75">
        <v>-3.125E-2</v>
      </c>
      <c r="BV4" s="2">
        <v>-3.1E-2</v>
      </c>
      <c r="BW4" s="2">
        <v>0</v>
      </c>
      <c r="BX4" s="94">
        <f>SC_Rod_Spec_Table[[#This Row],[Green Max Rod Length]]</f>
        <v>0</v>
      </c>
      <c r="BZ4" s="19" t="s">
        <v>372</v>
      </c>
      <c r="CA4" s="20">
        <v>-2E-3</v>
      </c>
      <c r="CB4" s="20">
        <v>-2E-3</v>
      </c>
      <c r="CC4" s="20">
        <v>2E-3</v>
      </c>
      <c r="CD4" s="20">
        <v>2E-3</v>
      </c>
      <c r="CE4" s="20">
        <v>-2E-3</v>
      </c>
      <c r="CF4" s="20">
        <v>-2E-3</v>
      </c>
      <c r="CG4" s="20">
        <v>2E-3</v>
      </c>
      <c r="CH4" s="20">
        <v>2E-3</v>
      </c>
      <c r="CI4" s="20">
        <v>-2E-3</v>
      </c>
      <c r="CJ4" s="20">
        <v>-2E-3</v>
      </c>
      <c r="CK4" s="20">
        <v>2E-3</v>
      </c>
      <c r="CL4" s="20">
        <v>2E-3</v>
      </c>
      <c r="CM4" s="20">
        <v>-4.0000000000000001E-3</v>
      </c>
      <c r="CN4" s="20">
        <v>-4.0000000000000001E-3</v>
      </c>
      <c r="CO4" s="20">
        <v>4.0000000000000001E-3</v>
      </c>
      <c r="CP4" s="20">
        <v>4.0000000000000001E-3</v>
      </c>
      <c r="CQ4" s="20">
        <v>-4.0000000000000001E-3</v>
      </c>
      <c r="CR4" s="20">
        <v>-4.0000000000000001E-3</v>
      </c>
      <c r="CS4" s="20">
        <v>4.0000000000000001E-3</v>
      </c>
      <c r="CT4" s="20">
        <v>4.0000000000000001E-3</v>
      </c>
      <c r="CU4" s="20">
        <v>0</v>
      </c>
      <c r="CV4" s="20">
        <v>0</v>
      </c>
      <c r="CW4" s="20">
        <v>0</v>
      </c>
      <c r="CX4" s="20">
        <v>0</v>
      </c>
      <c r="CY4" s="20">
        <v>0</v>
      </c>
      <c r="CZ4" s="20">
        <v>0</v>
      </c>
      <c r="DA4" s="20">
        <v>0</v>
      </c>
      <c r="DB4" s="20">
        <v>0</v>
      </c>
      <c r="DC4" s="20">
        <v>0</v>
      </c>
      <c r="DD4" s="20">
        <v>0</v>
      </c>
      <c r="DE4" s="20">
        <v>0</v>
      </c>
      <c r="DF4" s="20">
        <v>0</v>
      </c>
      <c r="DG4" s="20">
        <v>0</v>
      </c>
      <c r="DH4" s="20">
        <v>0</v>
      </c>
      <c r="DI4" s="20">
        <v>0</v>
      </c>
      <c r="DJ4" s="39">
        <v>0</v>
      </c>
      <c r="DK4" s="2" t="s">
        <v>291</v>
      </c>
      <c r="DL4" s="2" t="s">
        <v>428</v>
      </c>
      <c r="DN4" s="56" t="s">
        <v>402</v>
      </c>
      <c r="DO4" s="1">
        <v>-2E-3</v>
      </c>
      <c r="DP4" s="1">
        <v>-2E-3</v>
      </c>
      <c r="DQ4" s="1">
        <v>2E-3</v>
      </c>
      <c r="DR4" s="1">
        <v>2E-3</v>
      </c>
      <c r="DS4" s="1">
        <v>-2E-3</v>
      </c>
      <c r="DT4" s="1">
        <v>-2E-3</v>
      </c>
      <c r="DU4" s="1">
        <v>2E-3</v>
      </c>
      <c r="DV4" s="54">
        <v>2E-3</v>
      </c>
      <c r="DW4" s="1">
        <v>-0.375</v>
      </c>
      <c r="DX4" s="1">
        <v>-0.25</v>
      </c>
      <c r="DY4" s="1">
        <v>0.25</v>
      </c>
      <c r="DZ4" s="1">
        <v>1.5</v>
      </c>
      <c r="EA4" s="1">
        <v>-0.375</v>
      </c>
      <c r="EB4" s="1">
        <v>-0.25</v>
      </c>
      <c r="EC4" s="1">
        <v>0.25</v>
      </c>
      <c r="ED4" s="1">
        <v>1.5</v>
      </c>
      <c r="EE4" s="2" t="s">
        <v>291</v>
      </c>
      <c r="EF4" s="1" t="s">
        <v>454</v>
      </c>
      <c r="EH4" s="19" t="s">
        <v>445</v>
      </c>
      <c r="EI4" s="19">
        <v>-1E-3</v>
      </c>
      <c r="EJ4" s="19">
        <v>-1E-3</v>
      </c>
      <c r="EK4" s="19">
        <v>2E-3</v>
      </c>
      <c r="EL4" s="19">
        <v>2E-3</v>
      </c>
      <c r="EM4" s="19">
        <v>-1E-3</v>
      </c>
      <c r="EN4" s="19">
        <v>-1E-3</v>
      </c>
      <c r="EO4" s="19">
        <v>2E-3</v>
      </c>
      <c r="EP4" s="19">
        <v>2E-3</v>
      </c>
      <c r="EQ4" s="20">
        <v>-3.0000000000000001E-3</v>
      </c>
      <c r="ER4" s="20">
        <v>-3.0000000000000001E-3</v>
      </c>
      <c r="ES4" s="20">
        <v>3.0000000000000001E-3</v>
      </c>
      <c r="ET4" s="20">
        <v>3.0000000000000001E-3</v>
      </c>
      <c r="EU4" s="20">
        <v>-3.0000000000000001E-3</v>
      </c>
      <c r="EV4" s="20">
        <v>-3.0000000000000001E-3</v>
      </c>
      <c r="EW4" s="20">
        <v>3.0000000000000001E-3</v>
      </c>
      <c r="EX4" s="20">
        <v>3.0000000000000001E-3</v>
      </c>
      <c r="EY4" s="20">
        <v>-2E-3</v>
      </c>
      <c r="EZ4" s="20">
        <v>-2E-3</v>
      </c>
      <c r="FA4" s="20">
        <v>3.0000000000000001E-3</v>
      </c>
      <c r="FB4" s="20">
        <v>3.0000000000000001E-3</v>
      </c>
      <c r="FC4" s="20">
        <v>-2E-3</v>
      </c>
      <c r="FD4" s="20">
        <v>-2E-3</v>
      </c>
      <c r="FE4" s="20">
        <v>3.0000000000000001E-3</v>
      </c>
      <c r="FF4" s="20">
        <v>3.0000000000000001E-3</v>
      </c>
      <c r="FG4" s="20">
        <v>-3.1300000000000001E-2</v>
      </c>
      <c r="FH4" s="20">
        <v>-3.1300000000000001E-2</v>
      </c>
      <c r="FI4" s="20">
        <v>3.1300000000000001E-2</v>
      </c>
      <c r="FJ4" s="20">
        <v>3.1300000000000001E-2</v>
      </c>
      <c r="FK4" s="20">
        <v>-3.1300000000000001E-2</v>
      </c>
      <c r="FL4" s="20">
        <v>-3.1300000000000001E-2</v>
      </c>
      <c r="FM4" s="20">
        <v>3.1300000000000001E-2</v>
      </c>
      <c r="FN4" s="20">
        <v>3.1300000000000001E-2</v>
      </c>
      <c r="FO4" s="2" t="s">
        <v>291</v>
      </c>
      <c r="FP4" s="20" t="s">
        <v>424</v>
      </c>
      <c r="FR4" s="87" t="s">
        <v>324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  <c r="FY4" s="1">
        <v>0</v>
      </c>
      <c r="FZ4" s="1">
        <v>0</v>
      </c>
      <c r="GA4" s="1">
        <v>0</v>
      </c>
      <c r="GB4" s="1">
        <v>0.125</v>
      </c>
      <c r="GC4" s="1">
        <v>0.125</v>
      </c>
      <c r="GD4" s="1">
        <v>0</v>
      </c>
      <c r="GE4" s="1">
        <v>0</v>
      </c>
      <c r="GF4" s="1">
        <v>0.125</v>
      </c>
      <c r="GG4" s="54">
        <v>0.125</v>
      </c>
      <c r="GH4" s="72" t="s">
        <v>291</v>
      </c>
      <c r="GI4" s="72" t="s">
        <v>552</v>
      </c>
      <c r="GK4" t="s">
        <v>182</v>
      </c>
      <c r="GL4">
        <v>0</v>
      </c>
      <c r="GM4">
        <v>0</v>
      </c>
      <c r="GN4">
        <v>3.125E-2</v>
      </c>
      <c r="GO4">
        <v>3.125E-2</v>
      </c>
      <c r="GP4">
        <v>0</v>
      </c>
      <c r="GQ4">
        <v>0</v>
      </c>
      <c r="GR4">
        <v>3.125E-2</v>
      </c>
      <c r="GS4">
        <v>3.125E-2</v>
      </c>
      <c r="GT4">
        <v>0</v>
      </c>
      <c r="GU4">
        <v>0</v>
      </c>
      <c r="GV4">
        <v>3.125E-2</v>
      </c>
      <c r="GW4">
        <v>3.125E-2</v>
      </c>
      <c r="GX4">
        <v>0</v>
      </c>
      <c r="GY4">
        <v>0</v>
      </c>
      <c r="GZ4">
        <v>3.125E-2</v>
      </c>
      <c r="HA4">
        <v>3.125E-2</v>
      </c>
      <c r="HB4">
        <v>0</v>
      </c>
      <c r="HC4">
        <v>0</v>
      </c>
      <c r="HD4">
        <v>0.125</v>
      </c>
      <c r="HE4">
        <v>0.125</v>
      </c>
      <c r="HF4">
        <v>0</v>
      </c>
      <c r="HG4">
        <v>0</v>
      </c>
      <c r="HH4">
        <v>0.125</v>
      </c>
      <c r="HI4">
        <v>0.125</v>
      </c>
    </row>
    <row r="5" spans="2:233" x14ac:dyDescent="0.2">
      <c r="B5" s="19" t="s">
        <v>130</v>
      </c>
      <c r="C5" s="19">
        <v>0</v>
      </c>
      <c r="D5" s="20">
        <v>0.34399999999999997</v>
      </c>
      <c r="E5" s="20">
        <v>0.314</v>
      </c>
      <c r="F5" s="20">
        <v>0</v>
      </c>
      <c r="G5" s="20">
        <v>0.374</v>
      </c>
      <c r="H5" s="20">
        <v>0.35799999999999998</v>
      </c>
      <c r="I5" s="20">
        <v>0</v>
      </c>
      <c r="J5" s="20">
        <v>0.52200000000000002</v>
      </c>
      <c r="K5" s="20">
        <v>0.50600000000000001</v>
      </c>
      <c r="L5" s="19">
        <v>0</v>
      </c>
      <c r="M5" s="20">
        <v>0.34399999999999997</v>
      </c>
      <c r="N5" s="20">
        <v>0.314</v>
      </c>
      <c r="O5" s="20">
        <v>0</v>
      </c>
      <c r="P5" s="20">
        <v>0.374</v>
      </c>
      <c r="Q5" s="20">
        <v>0.35799999999999998</v>
      </c>
      <c r="R5" s="20">
        <v>0</v>
      </c>
      <c r="S5" s="20">
        <v>0.52200000000000002</v>
      </c>
      <c r="T5" s="20">
        <v>0.50600000000000001</v>
      </c>
      <c r="U5" s="20">
        <f>Spiral_Dims_Table[[#This Row],[C_D_15]]</f>
        <v>0</v>
      </c>
      <c r="V5" s="19">
        <f>Spiral_Dims_Table[[#This Row],[C_D_16]]</f>
        <v>0.374</v>
      </c>
      <c r="W5" s="19">
        <f>Spiral_Dims_Table[[#This Row],[C_D_17]]</f>
        <v>0.35799999999999998</v>
      </c>
      <c r="X5" s="20">
        <v>0</v>
      </c>
      <c r="Y5" s="20">
        <v>0</v>
      </c>
      <c r="Z5" s="20">
        <v>0</v>
      </c>
      <c r="AA5" s="20">
        <v>0.75</v>
      </c>
      <c r="AC5" s="18" t="s">
        <v>134</v>
      </c>
      <c r="AD5" s="25">
        <v>0</v>
      </c>
      <c r="AE5" s="26">
        <v>1.538</v>
      </c>
      <c r="AF5" s="26">
        <v>1.522</v>
      </c>
      <c r="AG5" s="26">
        <v>0</v>
      </c>
      <c r="AH5" s="26">
        <v>1.6859999999999999</v>
      </c>
      <c r="AI5" s="26">
        <v>1.67</v>
      </c>
      <c r="AJ5" s="25">
        <v>0</v>
      </c>
      <c r="AK5" s="26">
        <v>1.538</v>
      </c>
      <c r="AL5" s="26">
        <v>1.522</v>
      </c>
      <c r="AM5" s="25">
        <v>0</v>
      </c>
      <c r="AN5" s="26">
        <v>1.538</v>
      </c>
      <c r="AO5" s="26">
        <v>1.522</v>
      </c>
      <c r="AP5" s="26">
        <v>0</v>
      </c>
      <c r="AQ5" s="26">
        <v>1.6859999999999999</v>
      </c>
      <c r="AR5" s="26">
        <v>1.67</v>
      </c>
      <c r="AS5" s="25">
        <v>0</v>
      </c>
      <c r="AT5" s="26">
        <v>1.538</v>
      </c>
      <c r="AU5" s="26">
        <v>1.522</v>
      </c>
      <c r="AW5" s="11" t="s">
        <v>164</v>
      </c>
      <c r="AX5" s="2">
        <v>-0.01</v>
      </c>
      <c r="AY5" s="2">
        <v>-6.8999999999999999E-3</v>
      </c>
      <c r="AZ5" s="2">
        <v>6.8999999999999999E-3</v>
      </c>
      <c r="BA5" s="2">
        <v>0.01</v>
      </c>
      <c r="BC5" s="18" t="s">
        <v>402</v>
      </c>
      <c r="BD5" s="2"/>
      <c r="BE5" s="37"/>
      <c r="BF5" s="75"/>
      <c r="BG5" s="2"/>
      <c r="BH5" s="2"/>
      <c r="BI5" s="2"/>
      <c r="BJ5" s="2">
        <v>1</v>
      </c>
      <c r="BL5" s="18" t="s">
        <v>608</v>
      </c>
      <c r="BM5" s="2" t="s">
        <v>613</v>
      </c>
      <c r="BN5" s="2" t="s">
        <v>291</v>
      </c>
      <c r="BO5" s="2">
        <v>-0.11811023599999999</v>
      </c>
      <c r="BP5" s="2">
        <v>0.23599999999999999</v>
      </c>
      <c r="BQ5" s="2">
        <v>-1E-3</v>
      </c>
      <c r="BR5" s="2">
        <v>-1E-3</v>
      </c>
      <c r="BS5" s="2">
        <v>1E-3</v>
      </c>
      <c r="BT5" s="2">
        <v>1E-3</v>
      </c>
      <c r="BU5" s="75">
        <v>-6.25E-2</v>
      </c>
      <c r="BV5" s="2">
        <v>-6.25E-2</v>
      </c>
      <c r="BW5" s="2">
        <v>0</v>
      </c>
      <c r="BX5" s="94">
        <f>SC_Rod_Spec_Table[[#This Row],[Green Max Rod Length]]</f>
        <v>0</v>
      </c>
      <c r="BZ5" s="19" t="s">
        <v>400</v>
      </c>
      <c r="CA5" s="20">
        <v>-6.0000000000000001E-3</v>
      </c>
      <c r="CB5" s="20">
        <v>-4.0000000000000001E-3</v>
      </c>
      <c r="CC5" s="20">
        <v>4.0000000000000001E-3</v>
      </c>
      <c r="CD5" s="20">
        <v>6.0000000000000001E-3</v>
      </c>
      <c r="CE5" s="20">
        <v>-6.0000000000000001E-3</v>
      </c>
      <c r="CF5" s="20">
        <v>-4.0000000000000001E-3</v>
      </c>
      <c r="CG5" s="20">
        <v>4.0000000000000001E-3</v>
      </c>
      <c r="CH5" s="20">
        <v>6.0000000000000001E-3</v>
      </c>
      <c r="CI5" s="20">
        <v>-6.0000000000000001E-3</v>
      </c>
      <c r="CJ5" s="20">
        <v>-4.0000000000000001E-3</v>
      </c>
      <c r="CK5" s="20">
        <v>4.0000000000000001E-3</v>
      </c>
      <c r="CL5" s="20">
        <v>6.0000000000000001E-3</v>
      </c>
      <c r="CM5" s="20">
        <v>-6.0000000000000001E-3</v>
      </c>
      <c r="CN5" s="20">
        <v>-4.0000000000000001E-3</v>
      </c>
      <c r="CO5" s="20">
        <v>4.0000000000000001E-3</v>
      </c>
      <c r="CP5" s="20">
        <v>6.0000000000000001E-3</v>
      </c>
      <c r="CQ5" s="20">
        <v>-6.0000000000000001E-3</v>
      </c>
      <c r="CR5" s="20">
        <v>-4.0000000000000001E-3</v>
      </c>
      <c r="CS5" s="20">
        <v>4.0000000000000001E-3</v>
      </c>
      <c r="CT5" s="20">
        <v>6.0000000000000001E-3</v>
      </c>
      <c r="CU5" s="20">
        <v>0</v>
      </c>
      <c r="CV5" s="20">
        <v>0</v>
      </c>
      <c r="CW5" s="20">
        <v>0</v>
      </c>
      <c r="CX5" s="20">
        <v>0</v>
      </c>
      <c r="CY5" s="20">
        <v>0</v>
      </c>
      <c r="CZ5" s="20">
        <v>0</v>
      </c>
      <c r="DA5" s="20">
        <v>0</v>
      </c>
      <c r="DB5" s="20">
        <v>0</v>
      </c>
      <c r="DC5" s="20">
        <v>0</v>
      </c>
      <c r="DD5" s="20">
        <v>0</v>
      </c>
      <c r="DE5" s="20">
        <v>0</v>
      </c>
      <c r="DF5" s="20">
        <v>0</v>
      </c>
      <c r="DG5" s="20">
        <v>0</v>
      </c>
      <c r="DH5" s="20">
        <v>0</v>
      </c>
      <c r="DI5" s="20">
        <v>0</v>
      </c>
      <c r="DJ5" s="39">
        <v>0</v>
      </c>
      <c r="DK5" s="2" t="s">
        <v>291</v>
      </c>
      <c r="DL5" s="2" t="s">
        <v>427</v>
      </c>
      <c r="DN5" s="56" t="s">
        <v>404</v>
      </c>
      <c r="DO5" s="1">
        <v>-2E-3</v>
      </c>
      <c r="DP5" s="1">
        <v>-2E-3</v>
      </c>
      <c r="DQ5" s="1">
        <v>2E-3</v>
      </c>
      <c r="DR5" s="1">
        <v>2E-3</v>
      </c>
      <c r="DS5" s="1">
        <v>-2E-3</v>
      </c>
      <c r="DT5" s="1">
        <v>-2E-3</v>
      </c>
      <c r="DU5" s="1">
        <v>2E-3</v>
      </c>
      <c r="DV5" s="54">
        <v>2E-3</v>
      </c>
      <c r="DW5" s="1">
        <v>-0.375</v>
      </c>
      <c r="DX5" s="1">
        <v>-0.25</v>
      </c>
      <c r="DY5" s="1">
        <v>0.25</v>
      </c>
      <c r="DZ5" s="1">
        <v>1.5</v>
      </c>
      <c r="EA5" s="1">
        <v>-0.375</v>
      </c>
      <c r="EB5" s="1">
        <v>-0.25</v>
      </c>
      <c r="EC5" s="1">
        <v>0.25</v>
      </c>
      <c r="ED5" s="1">
        <v>1.5</v>
      </c>
      <c r="EE5" s="2" t="s">
        <v>291</v>
      </c>
      <c r="EF5" s="1" t="s">
        <v>454</v>
      </c>
      <c r="FR5" s="88" t="s">
        <v>325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0.125</v>
      </c>
      <c r="GC5" s="1">
        <v>0.125</v>
      </c>
      <c r="GD5" s="1">
        <v>0</v>
      </c>
      <c r="GE5" s="1">
        <v>0</v>
      </c>
      <c r="GF5" s="1">
        <v>0.125</v>
      </c>
      <c r="GG5" s="54">
        <v>0.125</v>
      </c>
      <c r="GH5" s="72" t="s">
        <v>291</v>
      </c>
      <c r="GI5" s="72" t="s">
        <v>552</v>
      </c>
      <c r="GK5" t="s">
        <v>0</v>
      </c>
      <c r="GL5">
        <v>0</v>
      </c>
      <c r="GM5">
        <v>0</v>
      </c>
      <c r="GN5">
        <v>3.125E-2</v>
      </c>
      <c r="GO5">
        <v>3.125E-2</v>
      </c>
      <c r="GP5">
        <v>0</v>
      </c>
      <c r="GQ5">
        <v>0</v>
      </c>
      <c r="GR5">
        <v>3.125E-2</v>
      </c>
      <c r="GS5">
        <v>3.125E-2</v>
      </c>
      <c r="GT5">
        <v>0</v>
      </c>
      <c r="GU5">
        <v>0</v>
      </c>
      <c r="GV5">
        <v>3.125E-2</v>
      </c>
      <c r="GW5">
        <v>3.125E-2</v>
      </c>
      <c r="GX5">
        <v>0</v>
      </c>
      <c r="GY5">
        <v>0</v>
      </c>
      <c r="GZ5">
        <v>3.125E-2</v>
      </c>
      <c r="HA5">
        <v>3.125E-2</v>
      </c>
      <c r="HB5">
        <v>0</v>
      </c>
      <c r="HC5">
        <v>0</v>
      </c>
      <c r="HD5">
        <v>0.125</v>
      </c>
      <c r="HE5">
        <v>0.125</v>
      </c>
      <c r="HF5">
        <v>0</v>
      </c>
      <c r="HG5">
        <v>0</v>
      </c>
      <c r="HH5">
        <v>0.125</v>
      </c>
      <c r="HI5">
        <v>0.125</v>
      </c>
    </row>
    <row r="6" spans="2:233" x14ac:dyDescent="0.2">
      <c r="B6" s="18" t="s">
        <v>184</v>
      </c>
      <c r="C6" s="19">
        <v>0</v>
      </c>
      <c r="D6" s="2">
        <v>0.34399999999999997</v>
      </c>
      <c r="E6" s="2">
        <v>0.314</v>
      </c>
      <c r="F6" s="2">
        <v>0</v>
      </c>
      <c r="G6" s="2">
        <v>0.374</v>
      </c>
      <c r="H6" s="2">
        <v>0.35799999999999998</v>
      </c>
      <c r="I6" s="2">
        <v>0</v>
      </c>
      <c r="J6" s="2">
        <v>0.52200000000000002</v>
      </c>
      <c r="K6" s="2">
        <v>0.50600000000000001</v>
      </c>
      <c r="L6" s="19">
        <v>0</v>
      </c>
      <c r="M6" s="2">
        <v>0.34399999999999997</v>
      </c>
      <c r="N6" s="2">
        <v>0.314</v>
      </c>
      <c r="O6" s="2">
        <v>0</v>
      </c>
      <c r="P6" s="2">
        <v>0.374</v>
      </c>
      <c r="Q6" s="2">
        <v>0.35799999999999998</v>
      </c>
      <c r="R6" s="2">
        <v>0</v>
      </c>
      <c r="S6" s="2">
        <v>0.52200000000000002</v>
      </c>
      <c r="T6" s="2">
        <v>0.50600000000000001</v>
      </c>
      <c r="U6" s="32">
        <f>Spiral_Dims_Table[[#This Row],[C_D_15]]</f>
        <v>0</v>
      </c>
      <c r="V6" s="19">
        <v>0.35399999999999998</v>
      </c>
      <c r="W6" s="19">
        <v>0.32400000000000001</v>
      </c>
      <c r="X6" s="20">
        <v>0</v>
      </c>
      <c r="Y6" s="20">
        <v>0</v>
      </c>
      <c r="Z6" s="20">
        <v>0</v>
      </c>
      <c r="AA6" s="2">
        <v>0.75</v>
      </c>
      <c r="AC6" s="18" t="s">
        <v>600</v>
      </c>
      <c r="AD6" s="25">
        <v>1.62</v>
      </c>
      <c r="AE6" s="26">
        <v>1.6</v>
      </c>
      <c r="AF6" s="26">
        <v>0</v>
      </c>
      <c r="AG6" s="26">
        <v>0</v>
      </c>
      <c r="AH6" s="26">
        <v>0</v>
      </c>
      <c r="AI6" s="26">
        <v>0</v>
      </c>
      <c r="AJ6" s="27">
        <f>Spiral_Length_Table[[#This Row],[C_Long_Leg_15]]</f>
        <v>0</v>
      </c>
      <c r="AK6" s="27">
        <f>Spiral_Length_Table[[#This Row],[C_Long_Leg_16]]</f>
        <v>0</v>
      </c>
      <c r="AL6" s="27">
        <f>Spiral_Length_Table[[#This Row],[C_Long_Leg_17]]</f>
        <v>0</v>
      </c>
      <c r="AM6" s="28">
        <v>1.62</v>
      </c>
      <c r="AN6" s="28">
        <v>1.6</v>
      </c>
      <c r="AO6" s="28">
        <v>0</v>
      </c>
      <c r="AP6" s="28">
        <v>0</v>
      </c>
      <c r="AQ6" s="28">
        <v>0</v>
      </c>
      <c r="AR6" s="28">
        <v>0</v>
      </c>
      <c r="AS6" s="26">
        <v>0</v>
      </c>
      <c r="AT6" s="26">
        <v>0</v>
      </c>
      <c r="AU6" s="26">
        <v>0</v>
      </c>
      <c r="AW6" s="11" t="s">
        <v>255</v>
      </c>
      <c r="AX6" s="2">
        <v>-0.01</v>
      </c>
      <c r="AY6" s="2">
        <v>-6.8999999999999999E-3</v>
      </c>
      <c r="AZ6" s="2">
        <v>6.8999999999999999E-3</v>
      </c>
      <c r="BA6" s="2">
        <v>0.01</v>
      </c>
      <c r="BC6" s="18" t="s">
        <v>404</v>
      </c>
      <c r="BD6" s="2"/>
      <c r="BE6" s="37"/>
      <c r="BF6" s="75"/>
      <c r="BG6" s="2"/>
      <c r="BH6" s="2"/>
      <c r="BI6" s="2"/>
      <c r="BJ6" s="2">
        <v>1</v>
      </c>
      <c r="BL6" s="18" t="s">
        <v>182</v>
      </c>
      <c r="BM6" s="2" t="s">
        <v>318</v>
      </c>
      <c r="BN6" s="2" t="s">
        <v>291</v>
      </c>
      <c r="BO6" s="2">
        <v>0.3125</v>
      </c>
      <c r="BP6" s="2">
        <v>0.192</v>
      </c>
      <c r="BQ6" s="2">
        <v>-1E-3</v>
      </c>
      <c r="BR6" s="2">
        <v>-1E-3</v>
      </c>
      <c r="BS6" s="2">
        <v>1E-3</v>
      </c>
      <c r="BT6" s="2">
        <v>1E-3</v>
      </c>
      <c r="BU6" s="2">
        <f>SC_Rod_Spec_Table[[#This Row],[Green Min Rod Length]]</f>
        <v>-1.5599999999999999E-2</v>
      </c>
      <c r="BV6" s="2">
        <v>-1.5599999999999999E-2</v>
      </c>
      <c r="BW6" s="2">
        <v>1.5599999999999999E-2</v>
      </c>
      <c r="BX6" s="37">
        <f>SC_Rod_Spec_Table[[#This Row],[Green Max Rod Length]]</f>
        <v>1.5599999999999999E-2</v>
      </c>
      <c r="BZ6" s="19" t="s">
        <v>401</v>
      </c>
      <c r="CA6" s="20">
        <v>-2E-3</v>
      </c>
      <c r="CB6" s="20">
        <v>-2E-3</v>
      </c>
      <c r="CC6" s="20">
        <v>2E-3</v>
      </c>
      <c r="CD6" s="20">
        <v>2E-3</v>
      </c>
      <c r="CE6" s="20">
        <v>-2E-3</v>
      </c>
      <c r="CF6" s="20">
        <v>-2E-3</v>
      </c>
      <c r="CG6" s="20">
        <v>2E-3</v>
      </c>
      <c r="CH6" s="20">
        <v>2E-3</v>
      </c>
      <c r="CI6" s="20">
        <v>-2E-3</v>
      </c>
      <c r="CJ6" s="20">
        <v>-2E-3</v>
      </c>
      <c r="CK6" s="20">
        <v>2E-3</v>
      </c>
      <c r="CL6" s="20">
        <v>2E-3</v>
      </c>
      <c r="CM6" s="20">
        <v>-4.0000000000000001E-3</v>
      </c>
      <c r="CN6" s="20">
        <v>-4.0000000000000001E-3</v>
      </c>
      <c r="CO6" s="20">
        <v>4.0000000000000001E-3</v>
      </c>
      <c r="CP6" s="20">
        <v>4.0000000000000001E-3</v>
      </c>
      <c r="CQ6" s="20">
        <v>-4.0000000000000001E-3</v>
      </c>
      <c r="CR6" s="20">
        <v>-4.0000000000000001E-3</v>
      </c>
      <c r="CS6" s="20">
        <v>4.0000000000000001E-3</v>
      </c>
      <c r="CT6" s="20">
        <v>4.0000000000000001E-3</v>
      </c>
      <c r="CU6" s="20">
        <v>0</v>
      </c>
      <c r="CV6" s="20">
        <v>0</v>
      </c>
      <c r="CW6" s="20">
        <v>0</v>
      </c>
      <c r="CX6" s="20">
        <v>0</v>
      </c>
      <c r="CY6" s="20">
        <v>0</v>
      </c>
      <c r="CZ6" s="20">
        <v>0</v>
      </c>
      <c r="DA6" s="20">
        <v>0</v>
      </c>
      <c r="DB6" s="20">
        <v>0</v>
      </c>
      <c r="DC6" s="20">
        <v>0</v>
      </c>
      <c r="DD6" s="20">
        <v>0</v>
      </c>
      <c r="DE6" s="20">
        <v>0</v>
      </c>
      <c r="DF6" s="20">
        <v>0</v>
      </c>
      <c r="DG6" s="20">
        <v>0</v>
      </c>
      <c r="DH6" s="20">
        <v>0</v>
      </c>
      <c r="DI6" s="20">
        <v>0</v>
      </c>
      <c r="DJ6" s="39">
        <v>0</v>
      </c>
      <c r="DK6" s="2" t="s">
        <v>291</v>
      </c>
      <c r="DL6" s="2" t="s">
        <v>426</v>
      </c>
      <c r="DN6" s="55" t="s">
        <v>445</v>
      </c>
      <c r="DO6" s="1">
        <v>-3.0000000000000001E-3</v>
      </c>
      <c r="DP6" s="1">
        <v>-3.0000000000000001E-3</v>
      </c>
      <c r="DQ6" s="1">
        <v>2E-3</v>
      </c>
      <c r="DR6" s="1">
        <v>2E-3</v>
      </c>
      <c r="DS6" s="1">
        <v>-3.0000000000000001E-3</v>
      </c>
      <c r="DT6" s="1">
        <v>-3.0000000000000001E-3</v>
      </c>
      <c r="DU6" s="1">
        <v>2E-3</v>
      </c>
      <c r="DV6" s="54">
        <v>2E-3</v>
      </c>
      <c r="DW6" s="1">
        <v>-0.375</v>
      </c>
      <c r="DX6" s="1">
        <v>-0.25</v>
      </c>
      <c r="DY6" s="1">
        <v>0.25</v>
      </c>
      <c r="DZ6" s="1">
        <v>1.5</v>
      </c>
      <c r="EA6" s="1">
        <v>-0.375</v>
      </c>
      <c r="EB6" s="1">
        <v>-0.25</v>
      </c>
      <c r="EC6" s="1">
        <v>0.25</v>
      </c>
      <c r="ED6" s="1">
        <v>1.5</v>
      </c>
      <c r="EE6" s="2" t="s">
        <v>291</v>
      </c>
      <c r="EF6" s="1" t="s">
        <v>455</v>
      </c>
      <c r="FR6" s="87" t="s">
        <v>326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  <c r="FY6" s="1">
        <v>0</v>
      </c>
      <c r="FZ6" s="1">
        <v>0</v>
      </c>
      <c r="GA6" s="1">
        <v>0</v>
      </c>
      <c r="GB6" s="1">
        <v>0.125</v>
      </c>
      <c r="GC6" s="1">
        <v>0.125</v>
      </c>
      <c r="GD6" s="1">
        <v>0</v>
      </c>
      <c r="GE6" s="1">
        <v>0</v>
      </c>
      <c r="GF6" s="1">
        <v>0.125</v>
      </c>
      <c r="GG6" s="54">
        <v>0.125</v>
      </c>
      <c r="GH6" s="72" t="s">
        <v>291</v>
      </c>
      <c r="GI6" s="72" t="s">
        <v>552</v>
      </c>
      <c r="GK6" t="s">
        <v>189</v>
      </c>
    </row>
    <row r="7" spans="2:233" x14ac:dyDescent="0.2">
      <c r="B7" s="18" t="s">
        <v>188</v>
      </c>
      <c r="C7" s="19">
        <v>0</v>
      </c>
      <c r="D7" s="2">
        <v>0.34399999999999997</v>
      </c>
      <c r="E7" s="2">
        <v>0.314</v>
      </c>
      <c r="F7" s="2">
        <v>0</v>
      </c>
      <c r="G7" s="2">
        <v>0.374</v>
      </c>
      <c r="H7" s="2">
        <v>0.35799999999999998</v>
      </c>
      <c r="I7" s="2">
        <v>0</v>
      </c>
      <c r="J7" s="2">
        <v>0.52200000000000002</v>
      </c>
      <c r="K7" s="2">
        <v>0.50600000000000001</v>
      </c>
      <c r="L7" s="19">
        <v>0</v>
      </c>
      <c r="M7" s="2">
        <v>0.34399999999999997</v>
      </c>
      <c r="N7" s="2">
        <v>0.314</v>
      </c>
      <c r="O7" s="2">
        <v>0</v>
      </c>
      <c r="P7" s="2">
        <v>0.374</v>
      </c>
      <c r="Q7" s="2">
        <v>0.35799999999999998</v>
      </c>
      <c r="R7" s="2">
        <v>0</v>
      </c>
      <c r="S7" s="2">
        <v>0.52200000000000002</v>
      </c>
      <c r="T7" s="2">
        <v>0.50600000000000001</v>
      </c>
      <c r="U7" s="32">
        <f>Spiral_Dims_Table[[#This Row],[C_D_15]]</f>
        <v>0</v>
      </c>
      <c r="V7" s="19">
        <v>0.35399999999999998</v>
      </c>
      <c r="W7" s="19">
        <v>0.32400000000000001</v>
      </c>
      <c r="X7" s="20">
        <v>0</v>
      </c>
      <c r="Y7" s="20">
        <v>0</v>
      </c>
      <c r="Z7" s="20">
        <v>0</v>
      </c>
      <c r="AA7" s="2">
        <v>0.75</v>
      </c>
      <c r="AC7" s="18" t="s">
        <v>604</v>
      </c>
      <c r="AD7" s="25">
        <v>1.62</v>
      </c>
      <c r="AE7" s="26">
        <v>1.6</v>
      </c>
      <c r="AF7" s="26">
        <v>0</v>
      </c>
      <c r="AG7" s="26">
        <v>0</v>
      </c>
      <c r="AH7" s="26">
        <v>0</v>
      </c>
      <c r="AI7" s="26">
        <v>0</v>
      </c>
      <c r="AJ7" s="27">
        <f>Spiral_Length_Table[[#This Row],[C_Long_Leg_15]]</f>
        <v>0</v>
      </c>
      <c r="AK7" s="27">
        <f>Spiral_Length_Table[[#This Row],[C_Long_Leg_16]]</f>
        <v>0</v>
      </c>
      <c r="AL7" s="27">
        <f>Spiral_Length_Table[[#This Row],[C_Long_Leg_17]]</f>
        <v>0</v>
      </c>
      <c r="AM7" s="28">
        <v>1.62</v>
      </c>
      <c r="AN7" s="28">
        <v>1.6</v>
      </c>
      <c r="AO7" s="28">
        <v>0</v>
      </c>
      <c r="AP7" s="28">
        <v>0</v>
      </c>
      <c r="AQ7" s="28">
        <v>0</v>
      </c>
      <c r="AR7" s="28">
        <v>0</v>
      </c>
      <c r="AS7" s="26">
        <v>0</v>
      </c>
      <c r="AT7" s="26">
        <v>0</v>
      </c>
      <c r="AU7" s="26">
        <v>0</v>
      </c>
      <c r="AW7" s="11" t="s">
        <v>257</v>
      </c>
      <c r="AX7" s="2">
        <v>-0.01</v>
      </c>
      <c r="AY7" s="2">
        <v>-6.8999999999999999E-3</v>
      </c>
      <c r="AZ7" s="2">
        <v>6.8999999999999999E-3</v>
      </c>
      <c r="BA7" s="2">
        <v>0.01</v>
      </c>
      <c r="BC7" s="18" t="s">
        <v>445</v>
      </c>
      <c r="BD7" s="2"/>
      <c r="BE7" s="37"/>
      <c r="BF7" s="75"/>
      <c r="BG7" s="2"/>
      <c r="BH7" s="2"/>
      <c r="BI7" s="2"/>
      <c r="BJ7" s="2">
        <v>1</v>
      </c>
      <c r="BL7" s="18" t="s">
        <v>0</v>
      </c>
      <c r="BM7" s="2" t="s">
        <v>318</v>
      </c>
      <c r="BN7" s="2" t="s">
        <v>291</v>
      </c>
      <c r="BO7" s="2">
        <v>0.3125</v>
      </c>
      <c r="BP7" s="2">
        <v>0.192</v>
      </c>
      <c r="BQ7" s="2">
        <v>-1E-3</v>
      </c>
      <c r="BR7" s="2">
        <v>-1E-3</v>
      </c>
      <c r="BS7" s="2">
        <v>1E-3</v>
      </c>
      <c r="BT7" s="2">
        <v>1E-3</v>
      </c>
      <c r="BU7" s="2">
        <f>SC_Rod_Spec_Table[[#This Row],[Green Min Rod Length]]</f>
        <v>-1.5599999999999999E-2</v>
      </c>
      <c r="BV7" s="2">
        <v>-1.5599999999999999E-2</v>
      </c>
      <c r="BW7" s="2">
        <v>1.5599999999999999E-2</v>
      </c>
      <c r="BX7" s="37">
        <f>SC_Rod_Spec_Table[[#This Row],[Green Max Rod Length]]</f>
        <v>1.5599999999999999E-2</v>
      </c>
      <c r="BZ7" s="19" t="s">
        <v>402</v>
      </c>
      <c r="CA7" s="20">
        <v>-6.0000000000000001E-3</v>
      </c>
      <c r="CB7" s="20">
        <v>-4.0000000000000001E-3</v>
      </c>
      <c r="CC7" s="20">
        <v>4.0000000000000001E-3</v>
      </c>
      <c r="CD7" s="20">
        <v>6.0000000000000001E-3</v>
      </c>
      <c r="CE7" s="20">
        <v>-6.0000000000000001E-3</v>
      </c>
      <c r="CF7" s="20">
        <v>-4.0000000000000001E-3</v>
      </c>
      <c r="CG7" s="20">
        <v>4.0000000000000001E-3</v>
      </c>
      <c r="CH7" s="20">
        <v>6.0000000000000001E-3</v>
      </c>
      <c r="CI7" s="20">
        <v>-6.0000000000000001E-3</v>
      </c>
      <c r="CJ7" s="20">
        <v>-4.0000000000000001E-3</v>
      </c>
      <c r="CK7" s="20">
        <v>4.0000000000000001E-3</v>
      </c>
      <c r="CL7" s="20">
        <v>6.0000000000000001E-3</v>
      </c>
      <c r="CM7" s="20">
        <v>-8.0000000000000002E-3</v>
      </c>
      <c r="CN7" s="20">
        <v>-4.0000000000000001E-3</v>
      </c>
      <c r="CO7" s="20">
        <v>4.0000000000000001E-3</v>
      </c>
      <c r="CP7" s="20">
        <v>8.0000000000000002E-3</v>
      </c>
      <c r="CQ7" s="20">
        <v>-8.0000000000000002E-3</v>
      </c>
      <c r="CR7" s="20">
        <v>-4.0000000000000001E-3</v>
      </c>
      <c r="CS7" s="20">
        <v>4.0000000000000001E-3</v>
      </c>
      <c r="CT7" s="20">
        <v>8.0000000000000002E-3</v>
      </c>
      <c r="CU7" s="20">
        <v>0</v>
      </c>
      <c r="CV7" s="20">
        <v>0</v>
      </c>
      <c r="CW7" s="20">
        <v>0</v>
      </c>
      <c r="CX7" s="20">
        <v>0</v>
      </c>
      <c r="CY7" s="20">
        <v>0</v>
      </c>
      <c r="CZ7" s="20">
        <v>0</v>
      </c>
      <c r="DA7" s="20">
        <v>0</v>
      </c>
      <c r="DB7" s="20">
        <v>0</v>
      </c>
      <c r="DC7" s="20">
        <v>0</v>
      </c>
      <c r="DD7" s="20">
        <v>0</v>
      </c>
      <c r="DE7" s="20">
        <v>0</v>
      </c>
      <c r="DF7" s="20">
        <v>0</v>
      </c>
      <c r="DG7" s="20">
        <v>0</v>
      </c>
      <c r="DH7" s="20">
        <v>0</v>
      </c>
      <c r="DI7" s="20">
        <v>0</v>
      </c>
      <c r="DJ7" s="39">
        <v>0</v>
      </c>
      <c r="DK7" s="2" t="s">
        <v>291</v>
      </c>
      <c r="DL7" s="2" t="s">
        <v>425</v>
      </c>
      <c r="DN7" s="55" t="s">
        <v>372</v>
      </c>
      <c r="DO7" s="1">
        <v>-2E-3</v>
      </c>
      <c r="DP7" s="1">
        <v>-2E-3</v>
      </c>
      <c r="DQ7" s="1">
        <v>2E-3</v>
      </c>
      <c r="DR7" s="1">
        <v>2E-3</v>
      </c>
      <c r="DS7" s="1">
        <v>-2E-3</v>
      </c>
      <c r="DT7" s="1">
        <v>-2E-3</v>
      </c>
      <c r="DU7" s="1">
        <v>2E-3</v>
      </c>
      <c r="DV7" s="54">
        <v>2E-3</v>
      </c>
      <c r="DW7" s="1">
        <v>-0.375</v>
      </c>
      <c r="DX7" s="1">
        <v>-0.25</v>
      </c>
      <c r="DY7" s="1">
        <v>0.25</v>
      </c>
      <c r="DZ7" s="1">
        <v>1.5</v>
      </c>
      <c r="EA7" s="1">
        <v>-0.375</v>
      </c>
      <c r="EB7" s="1">
        <v>-0.25</v>
      </c>
      <c r="EC7" s="1">
        <v>0.25</v>
      </c>
      <c r="ED7" s="1">
        <v>1.5</v>
      </c>
      <c r="EE7" s="2" t="s">
        <v>291</v>
      </c>
      <c r="EF7" s="1" t="s">
        <v>454</v>
      </c>
      <c r="FR7" s="88" t="s">
        <v>327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  <c r="FY7" s="1">
        <v>0</v>
      </c>
      <c r="FZ7" s="1">
        <v>0</v>
      </c>
      <c r="GA7" s="1">
        <v>0</v>
      </c>
      <c r="GB7" s="1">
        <v>0.125</v>
      </c>
      <c r="GC7" s="1">
        <v>0.125</v>
      </c>
      <c r="GD7" s="1">
        <v>0</v>
      </c>
      <c r="GE7" s="1">
        <v>0</v>
      </c>
      <c r="GF7" s="1">
        <v>0.125</v>
      </c>
      <c r="GG7" s="54">
        <v>0.125</v>
      </c>
      <c r="GH7" s="72" t="s">
        <v>291</v>
      </c>
      <c r="GI7" s="72" t="s">
        <v>552</v>
      </c>
      <c r="GK7" t="s">
        <v>183</v>
      </c>
    </row>
    <row r="8" spans="2:233" x14ac:dyDescent="0.2">
      <c r="B8" s="2" t="s">
        <v>192</v>
      </c>
      <c r="C8" s="2">
        <v>0.39800000000000002</v>
      </c>
      <c r="D8" s="2">
        <v>0.38200000000000001</v>
      </c>
      <c r="E8" s="2">
        <v>0.36599999999999999</v>
      </c>
      <c r="F8" s="2">
        <v>0.435</v>
      </c>
      <c r="G8" s="2">
        <v>0.41699999999999998</v>
      </c>
      <c r="H8" s="2">
        <v>0.40100000000000002</v>
      </c>
      <c r="I8" s="2">
        <v>0.58099999999999996</v>
      </c>
      <c r="J8" s="2">
        <v>0.56499999999999995</v>
      </c>
      <c r="K8" s="2">
        <v>0.54900000000000004</v>
      </c>
      <c r="L8" s="2">
        <v>0.39800000000000002</v>
      </c>
      <c r="M8" s="2">
        <v>0.38200000000000001</v>
      </c>
      <c r="N8" s="2">
        <v>0.36599999999999999</v>
      </c>
      <c r="O8" s="2">
        <v>0.435</v>
      </c>
      <c r="P8" s="2">
        <v>0.41699999999999998</v>
      </c>
      <c r="Q8" s="2">
        <v>0.40100000000000002</v>
      </c>
      <c r="R8" s="2">
        <v>0.58099999999999996</v>
      </c>
      <c r="S8" s="2">
        <v>0.56499999999999995</v>
      </c>
      <c r="T8" s="2">
        <v>0.54900000000000004</v>
      </c>
      <c r="U8" s="2">
        <f>Spiral_Dims_Table[[#This Row],[C_D_15]]</f>
        <v>0.435</v>
      </c>
      <c r="V8" s="19">
        <f>Spiral_Dims_Table[[#This Row],[C_D_16]]</f>
        <v>0.41699999999999998</v>
      </c>
      <c r="W8" s="19">
        <f>Spiral_Dims_Table[[#This Row],[C_D_17]]</f>
        <v>0.40100000000000002</v>
      </c>
      <c r="X8" s="2">
        <v>0</v>
      </c>
      <c r="Y8" s="2">
        <v>0</v>
      </c>
      <c r="Z8" s="2">
        <v>0</v>
      </c>
      <c r="AA8" s="2">
        <v>0.75</v>
      </c>
      <c r="AC8" s="18" t="s">
        <v>611</v>
      </c>
      <c r="AD8" s="25">
        <v>1.62</v>
      </c>
      <c r="AE8" s="26">
        <v>1.6</v>
      </c>
      <c r="AF8" s="26">
        <v>0</v>
      </c>
      <c r="AG8" s="26">
        <v>0</v>
      </c>
      <c r="AH8" s="26">
        <v>0</v>
      </c>
      <c r="AI8" s="26">
        <v>0</v>
      </c>
      <c r="AJ8" s="27">
        <f>Spiral_Length_Table[[#This Row],[C_Long_Leg_15]]</f>
        <v>0</v>
      </c>
      <c r="AK8" s="27">
        <f>Spiral_Length_Table[[#This Row],[C_Long_Leg_16]]</f>
        <v>0</v>
      </c>
      <c r="AL8" s="27">
        <f>Spiral_Length_Table[[#This Row],[C_Long_Leg_17]]</f>
        <v>0</v>
      </c>
      <c r="AM8" s="28">
        <v>1.62</v>
      </c>
      <c r="AN8" s="28">
        <v>1.6</v>
      </c>
      <c r="AO8" s="28">
        <v>0</v>
      </c>
      <c r="AP8" s="28">
        <v>0</v>
      </c>
      <c r="AQ8" s="28">
        <v>0</v>
      </c>
      <c r="AR8" s="28">
        <v>0</v>
      </c>
      <c r="AS8" s="26">
        <v>0</v>
      </c>
      <c r="AT8" s="26">
        <v>0</v>
      </c>
      <c r="AU8" s="26">
        <v>0</v>
      </c>
      <c r="AW8" s="11" t="s">
        <v>258</v>
      </c>
      <c r="AX8" s="2">
        <v>-1.4999999999999999E-2</v>
      </c>
      <c r="AY8" s="2">
        <v>-1.1900000000000001E-2</v>
      </c>
      <c r="AZ8" s="2">
        <v>1.1900000000000001E-2</v>
      </c>
      <c r="BA8" s="2">
        <v>1.4999999999999999E-2</v>
      </c>
      <c r="BC8" s="18" t="s">
        <v>372</v>
      </c>
      <c r="BD8" s="2"/>
      <c r="BE8" s="37"/>
      <c r="BF8" s="75"/>
      <c r="BG8" s="2"/>
      <c r="BH8" s="2"/>
      <c r="BI8" s="2"/>
      <c r="BJ8" s="2">
        <v>1</v>
      </c>
      <c r="BL8" s="18" t="s">
        <v>186</v>
      </c>
      <c r="BM8" s="2" t="s">
        <v>318</v>
      </c>
      <c r="BN8" s="2" t="s">
        <v>291</v>
      </c>
      <c r="BO8" s="2">
        <v>0.3125</v>
      </c>
      <c r="BP8" s="2">
        <v>0.192</v>
      </c>
      <c r="BQ8" s="2">
        <v>-1E-3</v>
      </c>
      <c r="BR8" s="2">
        <v>-1E-3</v>
      </c>
      <c r="BS8" s="2">
        <v>1E-3</v>
      </c>
      <c r="BT8" s="2">
        <v>1E-3</v>
      </c>
      <c r="BU8" s="2">
        <f>SC_Rod_Spec_Table[[#This Row],[Green Min Rod Length]]</f>
        <v>-1.5599999999999999E-2</v>
      </c>
      <c r="BV8" s="2">
        <v>-1.5599999999999999E-2</v>
      </c>
      <c r="BW8" s="2">
        <v>1.5599999999999999E-2</v>
      </c>
      <c r="BX8" s="37">
        <f>SC_Rod_Spec_Table[[#This Row],[Green Max Rod Length]]</f>
        <v>1.5599999999999999E-2</v>
      </c>
      <c r="BZ8" s="19" t="s">
        <v>403</v>
      </c>
      <c r="CA8" s="20">
        <v>-6.0000000000000001E-3</v>
      </c>
      <c r="CB8" s="20">
        <v>-4.0000000000000001E-3</v>
      </c>
      <c r="CC8" s="20">
        <v>4.0000000000000001E-3</v>
      </c>
      <c r="CD8" s="20">
        <v>6.0000000000000001E-3</v>
      </c>
      <c r="CE8" s="20">
        <v>-6.0000000000000001E-3</v>
      </c>
      <c r="CF8" s="20">
        <v>-4.0000000000000001E-3</v>
      </c>
      <c r="CG8" s="20">
        <v>4.0000000000000001E-3</v>
      </c>
      <c r="CH8" s="20">
        <v>6.0000000000000001E-3</v>
      </c>
      <c r="CI8" s="20">
        <v>-6.0000000000000001E-3</v>
      </c>
      <c r="CJ8" s="20">
        <v>-4.0000000000000001E-3</v>
      </c>
      <c r="CK8" s="20">
        <v>4.0000000000000001E-3</v>
      </c>
      <c r="CL8" s="20">
        <v>6.0000000000000001E-3</v>
      </c>
      <c r="CM8" s="20">
        <v>-8.0000000000000002E-3</v>
      </c>
      <c r="CN8" s="20">
        <v>-4.0000000000000001E-3</v>
      </c>
      <c r="CO8" s="20">
        <v>4.0000000000000001E-3</v>
      </c>
      <c r="CP8" s="20">
        <v>8.0000000000000002E-3</v>
      </c>
      <c r="CQ8" s="20">
        <v>-8.0000000000000002E-3</v>
      </c>
      <c r="CR8" s="20">
        <v>-4.0000000000000001E-3</v>
      </c>
      <c r="CS8" s="20">
        <v>4.0000000000000001E-3</v>
      </c>
      <c r="CT8" s="20">
        <v>8.0000000000000002E-3</v>
      </c>
      <c r="CU8" s="20">
        <v>0</v>
      </c>
      <c r="CV8" s="20">
        <v>0</v>
      </c>
      <c r="CW8" s="20">
        <v>0</v>
      </c>
      <c r="CX8" s="20">
        <v>0</v>
      </c>
      <c r="CY8" s="20">
        <v>0</v>
      </c>
      <c r="CZ8" s="20">
        <v>0</v>
      </c>
      <c r="DA8" s="20">
        <v>0</v>
      </c>
      <c r="DB8" s="20">
        <v>0</v>
      </c>
      <c r="DC8" s="20">
        <v>0</v>
      </c>
      <c r="DD8" s="20">
        <v>0</v>
      </c>
      <c r="DE8" s="20">
        <v>0</v>
      </c>
      <c r="DF8" s="20">
        <v>0</v>
      </c>
      <c r="DG8" s="20">
        <v>0</v>
      </c>
      <c r="DH8" s="20">
        <v>0</v>
      </c>
      <c r="DI8" s="20">
        <v>0</v>
      </c>
      <c r="DJ8" s="39">
        <v>0</v>
      </c>
      <c r="DK8" s="2" t="s">
        <v>291</v>
      </c>
      <c r="DL8" s="2" t="s">
        <v>425</v>
      </c>
      <c r="DN8" s="56" t="s">
        <v>400</v>
      </c>
      <c r="DO8" s="1">
        <v>-2E-3</v>
      </c>
      <c r="DP8" s="1">
        <v>-2E-3</v>
      </c>
      <c r="DQ8" s="1">
        <v>2E-3</v>
      </c>
      <c r="DR8" s="1">
        <v>2E-3</v>
      </c>
      <c r="DS8" s="1">
        <v>-2E-3</v>
      </c>
      <c r="DT8" s="1">
        <v>-2E-3</v>
      </c>
      <c r="DU8" s="1">
        <v>2E-3</v>
      </c>
      <c r="DV8" s="54">
        <v>2E-3</v>
      </c>
      <c r="DW8" s="1">
        <v>-0.375</v>
      </c>
      <c r="DX8" s="1">
        <v>-0.25</v>
      </c>
      <c r="DY8" s="1">
        <v>0.25</v>
      </c>
      <c r="DZ8" s="1">
        <v>1.5</v>
      </c>
      <c r="EA8" s="1">
        <v>-0.375</v>
      </c>
      <c r="EB8" s="1">
        <v>-0.25</v>
      </c>
      <c r="EC8" s="1">
        <v>0.25</v>
      </c>
      <c r="ED8" s="1">
        <v>1.5</v>
      </c>
      <c r="EE8" s="2" t="s">
        <v>291</v>
      </c>
      <c r="EF8" s="1" t="s">
        <v>454</v>
      </c>
      <c r="FR8" s="87" t="s">
        <v>328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  <c r="FY8" s="1">
        <v>0</v>
      </c>
      <c r="FZ8" s="1">
        <v>0</v>
      </c>
      <c r="GA8" s="1">
        <v>0</v>
      </c>
      <c r="GB8" s="1">
        <v>0.125</v>
      </c>
      <c r="GC8" s="1">
        <v>0.125</v>
      </c>
      <c r="GD8" s="1">
        <v>0</v>
      </c>
      <c r="GE8" s="1">
        <v>0</v>
      </c>
      <c r="GF8" s="1">
        <v>0.125</v>
      </c>
      <c r="GG8" s="54">
        <v>0.125</v>
      </c>
      <c r="GH8" s="72" t="s">
        <v>291</v>
      </c>
      <c r="GI8" s="72" t="s">
        <v>552</v>
      </c>
      <c r="GK8" t="s">
        <v>185</v>
      </c>
    </row>
    <row r="9" spans="2:233" x14ac:dyDescent="0.2">
      <c r="B9" s="2" t="s">
        <v>195</v>
      </c>
      <c r="C9" s="2">
        <v>0.39800000000000002</v>
      </c>
      <c r="D9" s="2">
        <v>0.38200000000000001</v>
      </c>
      <c r="E9" s="2">
        <v>0.36599999999999999</v>
      </c>
      <c r="F9" s="2">
        <v>0.435</v>
      </c>
      <c r="G9" s="2">
        <v>0.41699999999999998</v>
      </c>
      <c r="H9" s="2">
        <v>0.40100000000000002</v>
      </c>
      <c r="I9" s="2">
        <v>0.58099999999999996</v>
      </c>
      <c r="J9" s="2">
        <v>0.56499999999999995</v>
      </c>
      <c r="K9" s="2">
        <v>0.54900000000000004</v>
      </c>
      <c r="L9" s="2">
        <v>0.39800000000000002</v>
      </c>
      <c r="M9" s="2">
        <v>0.38200000000000001</v>
      </c>
      <c r="N9" s="2">
        <v>0.36599999999999999</v>
      </c>
      <c r="O9" s="2">
        <v>0.435</v>
      </c>
      <c r="P9" s="2">
        <v>0.41699999999999998</v>
      </c>
      <c r="Q9" s="2">
        <v>0.40100000000000002</v>
      </c>
      <c r="R9" s="2">
        <v>0.58099999999999996</v>
      </c>
      <c r="S9" s="2">
        <v>0.56499999999999995</v>
      </c>
      <c r="T9" s="2">
        <v>0.54900000000000004</v>
      </c>
      <c r="U9" s="2">
        <f>Spiral_Dims_Table[[#This Row],[C_D_15]]</f>
        <v>0.435</v>
      </c>
      <c r="V9" s="2">
        <f>Spiral_Dims_Table[[#This Row],[C_D_16]]</f>
        <v>0.41699999999999998</v>
      </c>
      <c r="W9" s="2">
        <f>Spiral_Dims_Table[[#This Row],[C_D_17]]</f>
        <v>0.40100000000000002</v>
      </c>
      <c r="X9" s="2">
        <v>0</v>
      </c>
      <c r="Y9" s="2">
        <v>0</v>
      </c>
      <c r="Z9" s="2">
        <v>0</v>
      </c>
      <c r="AA9" s="2">
        <v>1.75</v>
      </c>
      <c r="AC9" s="18" t="s">
        <v>201</v>
      </c>
      <c r="AD9" s="25">
        <v>0</v>
      </c>
      <c r="AE9" s="26">
        <v>1.1639999999999999</v>
      </c>
      <c r="AF9" s="26">
        <v>1.1479999999999999</v>
      </c>
      <c r="AG9" s="26">
        <v>0</v>
      </c>
      <c r="AH9" s="26">
        <v>1.3120000000000001</v>
      </c>
      <c r="AI9" s="26">
        <v>1.296</v>
      </c>
      <c r="AJ9" s="25">
        <v>0</v>
      </c>
      <c r="AK9" s="26">
        <v>1.1639999999999999</v>
      </c>
      <c r="AL9" s="26">
        <v>1.1479999999999999</v>
      </c>
      <c r="AM9" s="25">
        <v>0</v>
      </c>
      <c r="AN9" s="26">
        <v>1.1639999999999999</v>
      </c>
      <c r="AO9" s="26">
        <v>1.1479999999999999</v>
      </c>
      <c r="AP9" s="26">
        <v>0</v>
      </c>
      <c r="AQ9" s="26">
        <v>1.3120000000000001</v>
      </c>
      <c r="AR9" s="26">
        <v>1.296</v>
      </c>
      <c r="AS9" s="25">
        <v>0</v>
      </c>
      <c r="AT9" s="26">
        <v>1.1639999999999999</v>
      </c>
      <c r="AU9" s="26">
        <v>1.1479999999999999</v>
      </c>
      <c r="AW9" s="10" t="s">
        <v>256</v>
      </c>
      <c r="AX9" s="2">
        <v>-0.01</v>
      </c>
      <c r="AY9" s="2">
        <v>-6.8999999999999999E-3</v>
      </c>
      <c r="AZ9" s="2">
        <v>6.8999999999999999E-3</v>
      </c>
      <c r="BA9" s="2">
        <v>0.01</v>
      </c>
      <c r="BC9" s="18" t="s">
        <v>400</v>
      </c>
      <c r="BD9" s="2"/>
      <c r="BE9" s="37"/>
      <c r="BF9" s="75"/>
      <c r="BG9" s="2"/>
      <c r="BH9" s="2"/>
      <c r="BI9" s="2"/>
      <c r="BJ9" s="2">
        <v>1</v>
      </c>
      <c r="BL9" s="18" t="s">
        <v>190</v>
      </c>
      <c r="BM9" s="2" t="s">
        <v>318</v>
      </c>
      <c r="BN9" s="2" t="s">
        <v>291</v>
      </c>
      <c r="BO9" s="2">
        <v>2</v>
      </c>
      <c r="BP9" s="2">
        <v>0.192</v>
      </c>
      <c r="BQ9" s="2">
        <v>-1E-3</v>
      </c>
      <c r="BR9" s="2">
        <v>-1E-3</v>
      </c>
      <c r="BS9" s="2">
        <v>1E-3</v>
      </c>
      <c r="BT9" s="2">
        <v>1E-3</v>
      </c>
      <c r="BU9" s="2">
        <f>SC_Rod_Spec_Table[[#This Row],[Green Min Rod Length]]</f>
        <v>-1.5599999999999999E-2</v>
      </c>
      <c r="BV9" s="2">
        <v>-1.5599999999999999E-2</v>
      </c>
      <c r="BW9" s="2">
        <v>1.5599999999999999E-2</v>
      </c>
      <c r="BX9" s="37">
        <f>SC_Rod_Spec_Table[[#This Row],[Green Max Rod Length]]</f>
        <v>1.5599999999999999E-2</v>
      </c>
      <c r="BZ9" s="19" t="s">
        <v>404</v>
      </c>
      <c r="CA9" s="20">
        <v>-6.0000000000000001E-3</v>
      </c>
      <c r="CB9" s="20">
        <v>-4.0000000000000001E-3</v>
      </c>
      <c r="CC9" s="20">
        <v>4.0000000000000001E-3</v>
      </c>
      <c r="CD9" s="20">
        <v>6.0000000000000001E-3</v>
      </c>
      <c r="CE9" s="20">
        <v>-6.0000000000000001E-3</v>
      </c>
      <c r="CF9" s="20">
        <v>-4.0000000000000001E-3</v>
      </c>
      <c r="CG9" s="20">
        <v>4.0000000000000001E-3</v>
      </c>
      <c r="CH9" s="20">
        <v>6.0000000000000001E-3</v>
      </c>
      <c r="CI9" s="20">
        <v>-6.0000000000000001E-3</v>
      </c>
      <c r="CJ9" s="20">
        <v>-4.0000000000000001E-3</v>
      </c>
      <c r="CK9" s="20">
        <v>4.0000000000000001E-3</v>
      </c>
      <c r="CL9" s="20">
        <v>6.0000000000000001E-3</v>
      </c>
      <c r="CM9" s="20">
        <v>-8.0000000000000002E-3</v>
      </c>
      <c r="CN9" s="20">
        <v>-4.0000000000000001E-3</v>
      </c>
      <c r="CO9" s="20">
        <v>4.0000000000000001E-3</v>
      </c>
      <c r="CP9" s="20">
        <v>8.0000000000000002E-3</v>
      </c>
      <c r="CQ9" s="20">
        <v>-8.0000000000000002E-3</v>
      </c>
      <c r="CR9" s="20">
        <v>-4.0000000000000001E-3</v>
      </c>
      <c r="CS9" s="20">
        <v>4.0000000000000001E-3</v>
      </c>
      <c r="CT9" s="20">
        <v>8.0000000000000002E-3</v>
      </c>
      <c r="CU9" s="20">
        <v>0</v>
      </c>
      <c r="CV9" s="20">
        <v>0</v>
      </c>
      <c r="CW9" s="20">
        <v>0</v>
      </c>
      <c r="CX9" s="20">
        <v>0</v>
      </c>
      <c r="CY9" s="20">
        <v>0</v>
      </c>
      <c r="CZ9" s="20">
        <v>0</v>
      </c>
      <c r="DA9" s="20">
        <v>0</v>
      </c>
      <c r="DB9" s="20">
        <v>0</v>
      </c>
      <c r="DC9" s="20">
        <v>0</v>
      </c>
      <c r="DD9" s="20">
        <v>0</v>
      </c>
      <c r="DE9" s="20">
        <v>0</v>
      </c>
      <c r="DF9" s="20">
        <v>0</v>
      </c>
      <c r="DG9" s="20">
        <v>0</v>
      </c>
      <c r="DH9" s="20">
        <v>0</v>
      </c>
      <c r="DI9" s="20">
        <v>0</v>
      </c>
      <c r="DJ9" s="39">
        <v>0</v>
      </c>
      <c r="DK9" s="2" t="s">
        <v>291</v>
      </c>
      <c r="DL9" s="2" t="s">
        <v>423</v>
      </c>
      <c r="DN9" s="55" t="s">
        <v>403</v>
      </c>
      <c r="DO9" s="1">
        <v>-2E-3</v>
      </c>
      <c r="DP9" s="1">
        <v>-2E-3</v>
      </c>
      <c r="DQ9" s="1">
        <v>2E-3</v>
      </c>
      <c r="DR9" s="1">
        <v>2E-3</v>
      </c>
      <c r="DS9" s="1">
        <v>-2E-3</v>
      </c>
      <c r="DT9" s="1">
        <v>-2E-3</v>
      </c>
      <c r="DU9" s="1">
        <v>2E-3</v>
      </c>
      <c r="DV9" s="54">
        <v>2E-3</v>
      </c>
      <c r="DW9" s="1">
        <v>-0.375</v>
      </c>
      <c r="DX9" s="1">
        <v>-0.25</v>
      </c>
      <c r="DY9" s="1">
        <v>0.25</v>
      </c>
      <c r="DZ9" s="1">
        <v>1.5</v>
      </c>
      <c r="EA9" s="1">
        <v>-0.375</v>
      </c>
      <c r="EB9" s="1">
        <v>-0.25</v>
      </c>
      <c r="EC9" s="1">
        <v>0.25</v>
      </c>
      <c r="ED9" s="1">
        <v>1.5</v>
      </c>
      <c r="EE9" s="2" t="s">
        <v>291</v>
      </c>
      <c r="EF9" s="1" t="s">
        <v>454</v>
      </c>
      <c r="FR9" s="88" t="s">
        <v>330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  <c r="FY9" s="1">
        <v>0</v>
      </c>
      <c r="FZ9" s="1">
        <v>0</v>
      </c>
      <c r="GA9" s="1">
        <v>0</v>
      </c>
      <c r="GB9" s="1">
        <v>0.125</v>
      </c>
      <c r="GC9" s="1">
        <v>0.125</v>
      </c>
      <c r="GD9" s="1">
        <v>0</v>
      </c>
      <c r="GE9" s="1">
        <v>0</v>
      </c>
      <c r="GF9" s="1">
        <v>0.125</v>
      </c>
      <c r="GG9" s="54">
        <v>0.125</v>
      </c>
      <c r="GH9" s="72" t="s">
        <v>291</v>
      </c>
      <c r="GI9" s="72" t="s">
        <v>552</v>
      </c>
    </row>
    <row r="10" spans="2:233" x14ac:dyDescent="0.2">
      <c r="B10" s="19" t="s">
        <v>598</v>
      </c>
      <c r="C10" s="2">
        <v>0.36399999999999999</v>
      </c>
      <c r="D10" s="2">
        <v>0.34399999999999997</v>
      </c>
      <c r="E10" s="2">
        <v>0</v>
      </c>
      <c r="F10" s="2">
        <v>0.374</v>
      </c>
      <c r="G10" s="2">
        <v>0.35399999999999998</v>
      </c>
      <c r="H10" s="2">
        <v>0</v>
      </c>
      <c r="I10" s="2">
        <v>0.374</v>
      </c>
      <c r="J10" s="2">
        <v>0.35399999999999998</v>
      </c>
      <c r="K10" s="2">
        <v>0</v>
      </c>
      <c r="L10" s="2">
        <v>0.36399999999999999</v>
      </c>
      <c r="M10" s="2">
        <v>0.34399999999999997</v>
      </c>
      <c r="N10" s="2">
        <v>0</v>
      </c>
      <c r="O10" s="2">
        <v>0.374</v>
      </c>
      <c r="P10" s="2">
        <v>0.35399999999999998</v>
      </c>
      <c r="Q10" s="2">
        <v>0</v>
      </c>
      <c r="R10" s="2">
        <v>0.374</v>
      </c>
      <c r="S10" s="2">
        <v>0.35399999999999998</v>
      </c>
      <c r="T10" s="2">
        <v>0</v>
      </c>
      <c r="U10" s="75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C10" s="18" t="s">
        <v>135</v>
      </c>
      <c r="AD10" s="25">
        <v>0</v>
      </c>
      <c r="AE10" s="26">
        <v>1.502</v>
      </c>
      <c r="AF10" s="26">
        <v>1.486</v>
      </c>
      <c r="AG10" s="26">
        <v>0</v>
      </c>
      <c r="AH10" s="26">
        <v>1.65</v>
      </c>
      <c r="AI10" s="26">
        <v>1.6339999999999999</v>
      </c>
      <c r="AJ10" s="25">
        <v>0</v>
      </c>
      <c r="AK10" s="26">
        <v>1.502</v>
      </c>
      <c r="AL10" s="26">
        <v>1.486</v>
      </c>
      <c r="AM10" s="25">
        <v>0</v>
      </c>
      <c r="AN10" s="26">
        <v>1.502</v>
      </c>
      <c r="AO10" s="26">
        <v>1.486</v>
      </c>
      <c r="AP10" s="26">
        <v>0</v>
      </c>
      <c r="AQ10" s="26">
        <v>1.65</v>
      </c>
      <c r="AR10" s="26">
        <v>1.6339999999999999</v>
      </c>
      <c r="AS10" s="25">
        <v>0</v>
      </c>
      <c r="AT10" s="26">
        <v>1.502</v>
      </c>
      <c r="AU10" s="26">
        <v>1.486</v>
      </c>
      <c r="AW10" s="11" t="s">
        <v>131</v>
      </c>
      <c r="AX10" s="2">
        <v>-0.01</v>
      </c>
      <c r="AY10" s="2">
        <v>-6.8999999999999999E-3</v>
      </c>
      <c r="AZ10" s="2">
        <v>6.8999999999999999E-3</v>
      </c>
      <c r="BA10" s="2">
        <v>0.01</v>
      </c>
      <c r="BC10" s="18" t="s">
        <v>324</v>
      </c>
      <c r="BD10" s="2"/>
      <c r="BE10" s="37"/>
      <c r="BF10" s="75"/>
      <c r="BG10" s="2"/>
      <c r="BH10" s="2"/>
      <c r="BI10" s="2"/>
      <c r="BJ10" s="2">
        <v>1</v>
      </c>
      <c r="BL10" s="18" t="s">
        <v>629</v>
      </c>
      <c r="BM10" s="2" t="s">
        <v>318</v>
      </c>
      <c r="BN10" s="2" t="s">
        <v>291</v>
      </c>
      <c r="BO10" s="2">
        <v>0.3125</v>
      </c>
      <c r="BP10" s="2">
        <v>0.192</v>
      </c>
      <c r="BQ10" s="2">
        <v>-1E-3</v>
      </c>
      <c r="BR10" s="2">
        <v>-1E-3</v>
      </c>
      <c r="BS10" s="2">
        <v>1E-3</v>
      </c>
      <c r="BT10" s="2">
        <v>1E-3</v>
      </c>
      <c r="BU10" s="2">
        <f>SC_Rod_Spec_Table[[#This Row],[Green Min Rod Length]]</f>
        <v>-1.5599999999999999E-2</v>
      </c>
      <c r="BV10" s="2">
        <v>-1.5599999999999999E-2</v>
      </c>
      <c r="BW10" s="2">
        <v>1.5599999999999999E-2</v>
      </c>
      <c r="BX10" s="37">
        <f>SC_Rod_Spec_Table[[#This Row],[Green Max Rod Length]]</f>
        <v>1.5599999999999999E-2</v>
      </c>
      <c r="DN10" s="89" t="s">
        <v>182</v>
      </c>
      <c r="DO10" s="58">
        <v>-2E-3</v>
      </c>
      <c r="DP10" s="58">
        <v>-2E-3</v>
      </c>
      <c r="DQ10" s="58">
        <v>2E-3</v>
      </c>
      <c r="DR10" s="58">
        <v>2E-3</v>
      </c>
      <c r="DS10" s="58">
        <v>-2E-3</v>
      </c>
      <c r="DT10" s="58">
        <v>-2E-3</v>
      </c>
      <c r="DU10" s="58">
        <v>2E-3</v>
      </c>
      <c r="DV10" s="53">
        <v>2E-3</v>
      </c>
      <c r="DW10" s="58">
        <v>-0.375</v>
      </c>
      <c r="DX10" s="58">
        <v>-0.25</v>
      </c>
      <c r="DY10" s="58">
        <v>0.25</v>
      </c>
      <c r="DZ10" s="58">
        <v>1.5</v>
      </c>
      <c r="EA10" s="58">
        <v>-0.375</v>
      </c>
      <c r="EB10" s="58">
        <v>-0.25</v>
      </c>
      <c r="EC10" s="58">
        <v>0.25</v>
      </c>
      <c r="ED10" s="58">
        <v>1.5</v>
      </c>
      <c r="EE10" s="2" t="s">
        <v>291</v>
      </c>
      <c r="EF10" s="58" t="s">
        <v>454</v>
      </c>
      <c r="FR10" s="87" t="s">
        <v>329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  <c r="FY10" s="1">
        <v>0</v>
      </c>
      <c r="FZ10" s="1">
        <v>0</v>
      </c>
      <c r="GA10" s="1">
        <v>0</v>
      </c>
      <c r="GB10" s="1">
        <v>0.125</v>
      </c>
      <c r="GC10" s="1">
        <v>0.125</v>
      </c>
      <c r="GD10" s="1">
        <v>0</v>
      </c>
      <c r="GE10" s="1">
        <v>0</v>
      </c>
      <c r="GF10" s="1">
        <v>0.125</v>
      </c>
      <c r="GG10" s="54">
        <v>0.125</v>
      </c>
      <c r="GH10" s="72" t="s">
        <v>291</v>
      </c>
      <c r="GI10" s="72" t="s">
        <v>552</v>
      </c>
    </row>
    <row r="11" spans="2:233" x14ac:dyDescent="0.2">
      <c r="B11" s="19" t="s">
        <v>599</v>
      </c>
      <c r="C11" s="2">
        <v>0.36399999999999999</v>
      </c>
      <c r="D11" s="2">
        <v>0.34399999999999997</v>
      </c>
      <c r="E11" s="2">
        <v>0</v>
      </c>
      <c r="F11" s="2">
        <v>0.374</v>
      </c>
      <c r="G11" s="2">
        <v>0.35399999999999998</v>
      </c>
      <c r="H11" s="2">
        <v>0</v>
      </c>
      <c r="I11" s="2">
        <v>0.74</v>
      </c>
      <c r="J11" s="2">
        <v>0.72</v>
      </c>
      <c r="K11" s="2">
        <v>0</v>
      </c>
      <c r="L11" s="2">
        <v>0.36399999999999999</v>
      </c>
      <c r="M11" s="2">
        <v>0.34399999999999997</v>
      </c>
      <c r="N11" s="2">
        <v>0</v>
      </c>
      <c r="O11" s="2">
        <v>0.374</v>
      </c>
      <c r="P11" s="2">
        <v>0.35399999999999998</v>
      </c>
      <c r="Q11" s="2">
        <v>0</v>
      </c>
      <c r="R11" s="2">
        <v>0.74</v>
      </c>
      <c r="S11" s="2">
        <v>0.72</v>
      </c>
      <c r="T11" s="2">
        <v>0</v>
      </c>
      <c r="U11" s="75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C11" s="18" t="s">
        <v>202</v>
      </c>
      <c r="AD11" s="25">
        <v>0</v>
      </c>
      <c r="AE11" s="26">
        <v>1.151</v>
      </c>
      <c r="AF11" s="26">
        <v>1.135</v>
      </c>
      <c r="AG11" s="26">
        <v>0</v>
      </c>
      <c r="AH11" s="26">
        <v>1.2989999999999999</v>
      </c>
      <c r="AI11" s="26">
        <v>1.2829999999999999</v>
      </c>
      <c r="AJ11" s="25">
        <v>0</v>
      </c>
      <c r="AK11" s="26">
        <v>1.151</v>
      </c>
      <c r="AL11" s="26">
        <v>1.135</v>
      </c>
      <c r="AM11" s="25">
        <v>0</v>
      </c>
      <c r="AN11" s="26">
        <v>1.151</v>
      </c>
      <c r="AO11" s="26">
        <v>1.135</v>
      </c>
      <c r="AP11" s="26">
        <v>0</v>
      </c>
      <c r="AQ11" s="26">
        <v>1.2989999999999999</v>
      </c>
      <c r="AR11" s="26">
        <v>1.2829999999999999</v>
      </c>
      <c r="AS11" s="25">
        <v>0</v>
      </c>
      <c r="AT11" s="26">
        <v>1.151</v>
      </c>
      <c r="AU11" s="26">
        <v>1.135</v>
      </c>
      <c r="AW11" s="11" t="s">
        <v>259</v>
      </c>
      <c r="AX11" s="2">
        <v>-0.01</v>
      </c>
      <c r="AY11" s="2">
        <v>-6.8999999999999999E-3</v>
      </c>
      <c r="AZ11" s="2">
        <v>6.8999999999999999E-3</v>
      </c>
      <c r="BA11" s="2">
        <v>0.01</v>
      </c>
      <c r="BC11" s="18" t="s">
        <v>325</v>
      </c>
      <c r="BD11" s="2"/>
      <c r="BE11" s="37"/>
      <c r="BF11" s="75"/>
      <c r="BG11" s="2"/>
      <c r="BH11" s="2"/>
      <c r="BI11" s="2"/>
      <c r="BJ11" s="2">
        <v>1</v>
      </c>
      <c r="BL11" s="18" t="s">
        <v>626</v>
      </c>
      <c r="BM11" s="2" t="s">
        <v>318</v>
      </c>
      <c r="BN11" s="2" t="s">
        <v>291</v>
      </c>
      <c r="BO11" s="2">
        <v>3.125E-2</v>
      </c>
      <c r="BP11" s="2">
        <v>0.192</v>
      </c>
      <c r="BQ11" s="2">
        <v>-1E-3</v>
      </c>
      <c r="BR11" s="2">
        <v>-1E-3</v>
      </c>
      <c r="BS11" s="2">
        <v>1E-3</v>
      </c>
      <c r="BT11" s="2">
        <v>1E-3</v>
      </c>
      <c r="BU11" s="2">
        <f>SC_Rod_Spec_Table[[#This Row],[Green Min Rod Length]]</f>
        <v>-1.5599999999999999E-2</v>
      </c>
      <c r="BV11" s="2">
        <v>-1.5599999999999999E-2</v>
      </c>
      <c r="BW11" s="2">
        <v>1.5599999999999999E-2</v>
      </c>
      <c r="BX11" s="37">
        <f>SC_Rod_Spec_Table[[#This Row],[Green Max Rod Length]]</f>
        <v>1.5599999999999999E-2</v>
      </c>
      <c r="DN11" s="89" t="s">
        <v>0</v>
      </c>
      <c r="DO11" s="58">
        <v>-2E-3</v>
      </c>
      <c r="DP11" s="58">
        <v>-2E-3</v>
      </c>
      <c r="DQ11" s="58">
        <v>2E-3</v>
      </c>
      <c r="DR11" s="58">
        <v>2E-3</v>
      </c>
      <c r="DS11" s="58">
        <v>-2E-3</v>
      </c>
      <c r="DT11" s="58">
        <v>-2E-3</v>
      </c>
      <c r="DU11" s="58">
        <v>2E-3</v>
      </c>
      <c r="DV11" s="53">
        <v>2E-3</v>
      </c>
      <c r="DW11" s="58">
        <v>-0.375</v>
      </c>
      <c r="DX11" s="58">
        <v>-0.25</v>
      </c>
      <c r="DY11" s="58">
        <v>0.25</v>
      </c>
      <c r="DZ11" s="58">
        <v>1.5</v>
      </c>
      <c r="EA11" s="58">
        <v>-0.375</v>
      </c>
      <c r="EB11" s="58">
        <v>-0.25</v>
      </c>
      <c r="EC11" s="58">
        <v>0.25</v>
      </c>
      <c r="ED11" s="58">
        <v>1.5</v>
      </c>
      <c r="EE11" s="2" t="s">
        <v>291</v>
      </c>
      <c r="EF11" s="58" t="s">
        <v>454</v>
      </c>
      <c r="FR11" s="88" t="s">
        <v>331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  <c r="FY11" s="1">
        <v>0</v>
      </c>
      <c r="FZ11" s="1">
        <v>0</v>
      </c>
      <c r="GA11" s="1">
        <v>0</v>
      </c>
      <c r="GB11" s="1">
        <v>0.125</v>
      </c>
      <c r="GC11" s="1">
        <v>0.125</v>
      </c>
      <c r="GD11" s="1">
        <v>0</v>
      </c>
      <c r="GE11" s="1">
        <v>0</v>
      </c>
      <c r="GF11" s="1">
        <v>0.125</v>
      </c>
      <c r="GG11" s="54">
        <v>0.125</v>
      </c>
      <c r="GH11" s="72" t="s">
        <v>291</v>
      </c>
      <c r="GI11" s="72" t="s">
        <v>552</v>
      </c>
    </row>
    <row r="12" spans="2:233" x14ac:dyDescent="0.2">
      <c r="B12" s="19" t="s">
        <v>610</v>
      </c>
      <c r="C12" s="19">
        <v>0.36399999999999999</v>
      </c>
      <c r="D12" s="20">
        <v>0.34399999999999997</v>
      </c>
      <c r="E12" s="20">
        <v>0</v>
      </c>
      <c r="F12" s="20">
        <v>0.374</v>
      </c>
      <c r="G12" s="20">
        <v>0.35399999999999998</v>
      </c>
      <c r="H12" s="20">
        <v>0</v>
      </c>
      <c r="I12" s="20">
        <v>0.74</v>
      </c>
      <c r="J12" s="20">
        <v>0.72</v>
      </c>
      <c r="K12" s="20">
        <v>0</v>
      </c>
      <c r="L12" s="20">
        <v>0.36399999999999999</v>
      </c>
      <c r="M12" s="20">
        <v>0.34399999999999997</v>
      </c>
      <c r="N12" s="20">
        <v>0</v>
      </c>
      <c r="O12" s="20">
        <v>0.374</v>
      </c>
      <c r="P12" s="20">
        <v>0.35399999999999998</v>
      </c>
      <c r="Q12" s="20">
        <v>0</v>
      </c>
      <c r="R12" s="20">
        <v>0.374</v>
      </c>
      <c r="S12" s="20">
        <v>0.35399999999999998</v>
      </c>
      <c r="T12" s="20">
        <v>0</v>
      </c>
      <c r="U12" s="92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20">
        <v>0</v>
      </c>
      <c r="AC12" s="18" t="s">
        <v>136</v>
      </c>
      <c r="AD12" s="25">
        <v>0</v>
      </c>
      <c r="AE12" s="26">
        <v>1.4950000000000001</v>
      </c>
      <c r="AF12" s="26">
        <v>1.4790000000000001</v>
      </c>
      <c r="AG12" s="26">
        <v>0</v>
      </c>
      <c r="AH12" s="26">
        <v>1.643</v>
      </c>
      <c r="AI12" s="26">
        <v>1.643</v>
      </c>
      <c r="AJ12" s="25">
        <v>0</v>
      </c>
      <c r="AK12" s="26">
        <v>1.4950000000000001</v>
      </c>
      <c r="AL12" s="26">
        <v>1.4790000000000001</v>
      </c>
      <c r="AM12" s="25">
        <v>0</v>
      </c>
      <c r="AN12" s="26">
        <v>1.4950000000000001</v>
      </c>
      <c r="AO12" s="26">
        <v>1.4790000000000001</v>
      </c>
      <c r="AP12" s="26">
        <v>0</v>
      </c>
      <c r="AQ12" s="26">
        <v>1.643</v>
      </c>
      <c r="AR12" s="26">
        <v>1.643</v>
      </c>
      <c r="AS12" s="25">
        <v>0</v>
      </c>
      <c r="AT12" s="26">
        <v>1.4950000000000001</v>
      </c>
      <c r="AU12" s="26">
        <v>1.4790000000000001</v>
      </c>
      <c r="AW12" s="11" t="s">
        <v>146</v>
      </c>
      <c r="AX12" s="2">
        <v>-0.01</v>
      </c>
      <c r="AY12" s="2">
        <v>-6.8999999999999999E-3</v>
      </c>
      <c r="AZ12" s="2">
        <v>6.8999999999999999E-3</v>
      </c>
      <c r="BA12" s="2">
        <v>0.01</v>
      </c>
      <c r="BC12" s="18" t="s">
        <v>326</v>
      </c>
      <c r="BD12" s="2"/>
      <c r="BE12" s="37"/>
      <c r="BF12" s="75"/>
      <c r="BG12" s="2"/>
      <c r="BH12" s="2"/>
      <c r="BI12" s="2"/>
      <c r="BJ12" s="2">
        <v>1</v>
      </c>
      <c r="BL12" s="18" t="s">
        <v>183</v>
      </c>
      <c r="BM12" s="2" t="s">
        <v>318</v>
      </c>
      <c r="BN12" s="2" t="s">
        <v>291</v>
      </c>
      <c r="BO12" s="2">
        <v>0.3125</v>
      </c>
      <c r="BP12" s="2">
        <v>0.192</v>
      </c>
      <c r="BQ12" s="2">
        <v>-1E-3</v>
      </c>
      <c r="BR12" s="2">
        <v>-1E-3</v>
      </c>
      <c r="BS12" s="2">
        <v>1E-3</v>
      </c>
      <c r="BT12" s="2">
        <v>1E-3</v>
      </c>
      <c r="BU12" s="2">
        <f>SC_Rod_Spec_Table[[#This Row],[Green Min Rod Length]]</f>
        <v>-1.5599999999999999E-2</v>
      </c>
      <c r="BV12" s="2">
        <v>-1.5599999999999999E-2</v>
      </c>
      <c r="BW12" s="2">
        <v>1.5599999999999999E-2</v>
      </c>
      <c r="BX12" s="37">
        <f>SC_Rod_Spec_Table[[#This Row],[Green Max Rod Length]]</f>
        <v>1.5599999999999999E-2</v>
      </c>
      <c r="DN12" s="89" t="s">
        <v>196</v>
      </c>
      <c r="DO12" s="58">
        <v>-2E-3</v>
      </c>
      <c r="DP12" s="58">
        <v>-2E-3</v>
      </c>
      <c r="DQ12" s="58">
        <v>2E-3</v>
      </c>
      <c r="DR12" s="58">
        <v>2E-3</v>
      </c>
      <c r="DS12" s="58">
        <v>-2E-3</v>
      </c>
      <c r="DT12" s="58">
        <v>-2E-3</v>
      </c>
      <c r="DU12" s="58">
        <v>2E-3</v>
      </c>
      <c r="DV12" s="53">
        <v>2E-3</v>
      </c>
      <c r="DW12" s="58">
        <v>-0.375</v>
      </c>
      <c r="DX12" s="58">
        <v>-0.25</v>
      </c>
      <c r="DY12" s="58">
        <v>0.25</v>
      </c>
      <c r="DZ12" s="58">
        <v>1.5</v>
      </c>
      <c r="EA12" s="58">
        <v>-0.375</v>
      </c>
      <c r="EB12" s="58">
        <v>-0.25</v>
      </c>
      <c r="EC12" s="58">
        <v>0.25</v>
      </c>
      <c r="ED12" s="58">
        <v>1.5</v>
      </c>
      <c r="EE12" s="2" t="s">
        <v>291</v>
      </c>
      <c r="EF12" s="58" t="s">
        <v>454</v>
      </c>
      <c r="FR12" s="87" t="s">
        <v>332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  <c r="FY12" s="1">
        <v>0</v>
      </c>
      <c r="FZ12" s="1">
        <v>0</v>
      </c>
      <c r="GA12" s="1">
        <v>0</v>
      </c>
      <c r="GB12" s="1">
        <v>0.125</v>
      </c>
      <c r="GC12" s="1">
        <v>0.125</v>
      </c>
      <c r="GD12" s="1">
        <v>0</v>
      </c>
      <c r="GE12" s="1">
        <v>0</v>
      </c>
      <c r="GF12" s="1">
        <v>0.125</v>
      </c>
      <c r="GG12" s="54">
        <v>0.125</v>
      </c>
      <c r="GH12" s="72" t="s">
        <v>291</v>
      </c>
      <c r="GI12" s="72" t="s">
        <v>552</v>
      </c>
    </row>
    <row r="13" spans="2:233" x14ac:dyDescent="0.2">
      <c r="AC13" s="18" t="s">
        <v>245</v>
      </c>
      <c r="AD13" s="25">
        <v>0</v>
      </c>
      <c r="AE13" s="26">
        <v>1.494</v>
      </c>
      <c r="AF13" s="26">
        <v>1.478</v>
      </c>
      <c r="AG13" s="26">
        <v>0</v>
      </c>
      <c r="AH13" s="26">
        <v>1.6419999999999999</v>
      </c>
      <c r="AI13" s="26">
        <v>1.6259999999999999</v>
      </c>
      <c r="AJ13" s="25">
        <v>0</v>
      </c>
      <c r="AK13" s="26">
        <v>1.494</v>
      </c>
      <c r="AL13" s="26">
        <v>1.478</v>
      </c>
      <c r="AM13" s="28">
        <v>0</v>
      </c>
      <c r="AN13" s="28">
        <v>2.1520000000000001</v>
      </c>
      <c r="AO13" s="28">
        <v>2.1360000000000001</v>
      </c>
      <c r="AP13" s="28">
        <v>0</v>
      </c>
      <c r="AQ13" s="28">
        <v>2.2999999999999998</v>
      </c>
      <c r="AR13" s="28">
        <v>2.2839999999999998</v>
      </c>
      <c r="AS13" s="28">
        <v>0</v>
      </c>
      <c r="AT13" s="28">
        <v>2.1520000000000001</v>
      </c>
      <c r="AU13" s="28">
        <v>2.1360000000000001</v>
      </c>
      <c r="AW13" s="11" t="s">
        <v>132</v>
      </c>
      <c r="AX13" s="2">
        <v>-0.01</v>
      </c>
      <c r="AY13" s="2">
        <v>-6.8999999999999999E-3</v>
      </c>
      <c r="AZ13" s="2">
        <v>6.8999999999999999E-3</v>
      </c>
      <c r="BA13" s="2">
        <v>0.01</v>
      </c>
      <c r="BC13" s="18" t="s">
        <v>327</v>
      </c>
      <c r="BD13" s="2"/>
      <c r="BE13" s="37"/>
      <c r="BF13" s="75"/>
      <c r="BG13" s="2"/>
      <c r="BH13" s="2"/>
      <c r="BI13" s="2"/>
      <c r="BJ13" s="2">
        <v>1</v>
      </c>
      <c r="BL13" s="18" t="s">
        <v>185</v>
      </c>
      <c r="BM13" s="2" t="s">
        <v>318</v>
      </c>
      <c r="BN13" s="2" t="s">
        <v>291</v>
      </c>
      <c r="BO13" s="2">
        <v>2</v>
      </c>
      <c r="BP13" s="2">
        <v>0.192</v>
      </c>
      <c r="BQ13" s="2">
        <v>-1E-3</v>
      </c>
      <c r="BR13" s="2">
        <v>-1E-3</v>
      </c>
      <c r="BS13" s="2">
        <v>1E-3</v>
      </c>
      <c r="BT13" s="2">
        <v>1E-3</v>
      </c>
      <c r="BU13" s="2">
        <f>SC_Rod_Spec_Table[[#This Row],[Green Min Rod Length]]</f>
        <v>-1.5599999999999999E-2</v>
      </c>
      <c r="BV13" s="2">
        <v>-1.5599999999999999E-2</v>
      </c>
      <c r="BW13" s="2">
        <v>1.5599999999999999E-2</v>
      </c>
      <c r="BX13" s="37">
        <f>SC_Rod_Spec_Table[[#This Row],[Green Max Rod Length]]</f>
        <v>1.5599999999999999E-2</v>
      </c>
      <c r="DN13" s="89" t="s">
        <v>193</v>
      </c>
      <c r="DO13" s="58">
        <v>-2E-3</v>
      </c>
      <c r="DP13" s="58">
        <v>-2E-3</v>
      </c>
      <c r="DQ13" s="58">
        <v>2E-3</v>
      </c>
      <c r="DR13" s="58">
        <v>2E-3</v>
      </c>
      <c r="DS13" s="58">
        <v>-2E-3</v>
      </c>
      <c r="DT13" s="58">
        <v>-2E-3</v>
      </c>
      <c r="DU13" s="58">
        <v>2E-3</v>
      </c>
      <c r="DV13" s="53">
        <v>2E-3</v>
      </c>
      <c r="DW13" s="58">
        <v>-0.375</v>
      </c>
      <c r="DX13" s="58">
        <v>-0.25</v>
      </c>
      <c r="DY13" s="58">
        <v>0.25</v>
      </c>
      <c r="DZ13" s="58">
        <v>1.5</v>
      </c>
      <c r="EA13" s="58">
        <v>-0.375</v>
      </c>
      <c r="EB13" s="58">
        <v>-0.25</v>
      </c>
      <c r="EC13" s="58">
        <v>0.25</v>
      </c>
      <c r="ED13" s="58">
        <v>1.5</v>
      </c>
      <c r="EE13" s="2" t="s">
        <v>291</v>
      </c>
      <c r="EF13" s="58" t="s">
        <v>454</v>
      </c>
      <c r="FR13" s="88" t="s">
        <v>333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  <c r="FY13" s="1">
        <v>0</v>
      </c>
      <c r="FZ13" s="1">
        <v>0</v>
      </c>
      <c r="GA13" s="1">
        <v>0</v>
      </c>
      <c r="GB13" s="1">
        <v>0.125</v>
      </c>
      <c r="GC13" s="1">
        <v>0.125</v>
      </c>
      <c r="GD13" s="1">
        <v>0</v>
      </c>
      <c r="GE13" s="1">
        <v>0</v>
      </c>
      <c r="GF13" s="1">
        <v>0.125</v>
      </c>
      <c r="GG13" s="54">
        <v>0.125</v>
      </c>
      <c r="GH13" s="72" t="s">
        <v>291</v>
      </c>
      <c r="GI13" s="72" t="s">
        <v>552</v>
      </c>
    </row>
    <row r="14" spans="2:233" x14ac:dyDescent="0.2">
      <c r="AC14" s="18" t="s">
        <v>212</v>
      </c>
      <c r="AD14" s="25">
        <v>1.671</v>
      </c>
      <c r="AE14" s="26">
        <v>1.655</v>
      </c>
      <c r="AF14" s="26">
        <v>1.64</v>
      </c>
      <c r="AG14" s="26">
        <v>1.821</v>
      </c>
      <c r="AH14" s="26">
        <v>1.806</v>
      </c>
      <c r="AI14" s="26">
        <v>1.77</v>
      </c>
      <c r="AJ14" s="25">
        <v>1.671</v>
      </c>
      <c r="AK14" s="26">
        <v>1.655</v>
      </c>
      <c r="AL14" s="26">
        <v>1.64</v>
      </c>
      <c r="AM14" s="25">
        <v>1.671</v>
      </c>
      <c r="AN14" s="26">
        <v>1.655</v>
      </c>
      <c r="AO14" s="26">
        <v>1.64</v>
      </c>
      <c r="AP14" s="26">
        <v>1.821</v>
      </c>
      <c r="AQ14" s="26">
        <v>1.806</v>
      </c>
      <c r="AR14" s="26">
        <v>1.77</v>
      </c>
      <c r="AS14" s="25">
        <v>1.671</v>
      </c>
      <c r="AT14" s="26">
        <v>1.655</v>
      </c>
      <c r="AU14" s="26">
        <v>1.64</v>
      </c>
      <c r="AW14" s="11" t="s">
        <v>133</v>
      </c>
      <c r="AX14" s="2">
        <v>-1.4999999999999999E-2</v>
      </c>
      <c r="AY14" s="2">
        <v>-1.1900000000000001E-2</v>
      </c>
      <c r="AZ14" s="2">
        <v>1.1900000000000001E-2</v>
      </c>
      <c r="BA14" s="2">
        <v>1.4999999999999999E-2</v>
      </c>
      <c r="BC14" s="18" t="s">
        <v>328</v>
      </c>
      <c r="BD14" s="2"/>
      <c r="BE14" s="37"/>
      <c r="BF14" s="75"/>
      <c r="BG14" s="2"/>
      <c r="BH14" s="2"/>
      <c r="BI14" s="2"/>
      <c r="BJ14" s="2">
        <v>1</v>
      </c>
      <c r="BL14" s="18" t="s">
        <v>187</v>
      </c>
      <c r="BM14" s="2" t="s">
        <v>318</v>
      </c>
      <c r="BN14" s="2" t="s">
        <v>291</v>
      </c>
      <c r="BO14" s="2">
        <v>2</v>
      </c>
      <c r="BP14" s="2">
        <v>0.192</v>
      </c>
      <c r="BQ14" s="2">
        <v>-1E-3</v>
      </c>
      <c r="BR14" s="2">
        <v>-1E-3</v>
      </c>
      <c r="BS14" s="2">
        <v>1E-3</v>
      </c>
      <c r="BT14" s="2">
        <v>1E-3</v>
      </c>
      <c r="BU14" s="2">
        <f>SC_Rod_Spec_Table[[#This Row],[Green Min Rod Length]]</f>
        <v>-1.5599999999999999E-2</v>
      </c>
      <c r="BV14" s="2">
        <v>-1.5599999999999999E-2</v>
      </c>
      <c r="BW14" s="2">
        <v>1.5599999999999999E-2</v>
      </c>
      <c r="BX14" s="37">
        <f>SC_Rod_Spec_Table[[#This Row],[Green Max Rod Length]]</f>
        <v>1.5599999999999999E-2</v>
      </c>
      <c r="DN14" s="57" t="s">
        <v>401</v>
      </c>
      <c r="DO14" s="58">
        <v>-2E-3</v>
      </c>
      <c r="DP14" s="58">
        <v>-2E-3</v>
      </c>
      <c r="DQ14" s="58">
        <v>2E-3</v>
      </c>
      <c r="DR14" s="58">
        <v>2E-3</v>
      </c>
      <c r="DS14" s="58">
        <v>-2E-3</v>
      </c>
      <c r="DT14" s="58">
        <v>-2E-3</v>
      </c>
      <c r="DU14" s="58">
        <v>2E-3</v>
      </c>
      <c r="DV14" s="53">
        <v>2E-3</v>
      </c>
      <c r="DW14" s="58">
        <v>-0.375</v>
      </c>
      <c r="DX14" s="58">
        <v>-0.25</v>
      </c>
      <c r="DY14" s="58">
        <v>0.25</v>
      </c>
      <c r="DZ14" s="58">
        <v>1.5</v>
      </c>
      <c r="EA14" s="58">
        <v>-0.375</v>
      </c>
      <c r="EB14" s="58">
        <v>-0.25</v>
      </c>
      <c r="EC14" s="58">
        <v>0.25</v>
      </c>
      <c r="ED14" s="58">
        <v>1.5</v>
      </c>
      <c r="EE14" s="2" t="s">
        <v>291</v>
      </c>
      <c r="EF14" s="58" t="s">
        <v>454</v>
      </c>
      <c r="FR14" s="87" t="s">
        <v>334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  <c r="FY14" s="1">
        <v>0</v>
      </c>
      <c r="FZ14" s="1">
        <v>0</v>
      </c>
      <c r="GA14" s="1">
        <v>0</v>
      </c>
      <c r="GB14" s="1">
        <v>0.125</v>
      </c>
      <c r="GC14" s="1">
        <v>0.125</v>
      </c>
      <c r="GD14" s="1">
        <v>0</v>
      </c>
      <c r="GE14" s="1">
        <v>0</v>
      </c>
      <c r="GF14" s="1">
        <v>0.125</v>
      </c>
      <c r="GG14" s="54">
        <v>0.125</v>
      </c>
      <c r="GH14" s="72" t="s">
        <v>291</v>
      </c>
      <c r="GI14" s="72" t="s">
        <v>552</v>
      </c>
    </row>
    <row r="15" spans="2:233" x14ac:dyDescent="0.2">
      <c r="AC15" s="18" t="s">
        <v>223</v>
      </c>
      <c r="AD15" s="25">
        <v>1.9670000000000001</v>
      </c>
      <c r="AE15" s="26">
        <v>1.95</v>
      </c>
      <c r="AF15" s="26">
        <v>1.9319999999999999</v>
      </c>
      <c r="AG15" s="26">
        <v>2.1160000000000001</v>
      </c>
      <c r="AH15" s="26">
        <v>2.0990000000000002</v>
      </c>
      <c r="AI15" s="26">
        <v>2.081</v>
      </c>
      <c r="AJ15" s="25">
        <v>1.9670000000000001</v>
      </c>
      <c r="AK15" s="26">
        <v>1.95</v>
      </c>
      <c r="AL15" s="26">
        <v>1.9319999999999999</v>
      </c>
      <c r="AM15" s="25">
        <v>1.9670000000000001</v>
      </c>
      <c r="AN15" s="26">
        <v>1.95</v>
      </c>
      <c r="AO15" s="26">
        <v>1.9319999999999999</v>
      </c>
      <c r="AP15" s="26">
        <v>2.1160000000000001</v>
      </c>
      <c r="AQ15" s="26">
        <v>2.0990000000000002</v>
      </c>
      <c r="AR15" s="26">
        <v>2.081</v>
      </c>
      <c r="AS15" s="25">
        <v>1.9670000000000001</v>
      </c>
      <c r="AT15" s="26">
        <v>1.95</v>
      </c>
      <c r="AU15" s="26">
        <v>1.9319999999999999</v>
      </c>
      <c r="AW15" s="10" t="s">
        <v>158</v>
      </c>
      <c r="AX15" s="2">
        <v>-0.01</v>
      </c>
      <c r="AY15" s="2">
        <v>-6.8999999999999999E-3</v>
      </c>
      <c r="AZ15" s="2">
        <v>6.8999999999999999E-3</v>
      </c>
      <c r="BA15" s="2">
        <v>0.01</v>
      </c>
      <c r="BC15" s="18" t="s">
        <v>330</v>
      </c>
      <c r="BD15" s="2"/>
      <c r="BE15" s="37"/>
      <c r="BF15" s="75"/>
      <c r="BG15" s="2"/>
      <c r="BH15" s="2"/>
      <c r="BI15" s="2"/>
      <c r="BJ15" s="2">
        <v>1</v>
      </c>
      <c r="BL15" s="18" t="s">
        <v>189</v>
      </c>
      <c r="BM15" s="2" t="s">
        <v>318</v>
      </c>
      <c r="BN15" s="2" t="s">
        <v>291</v>
      </c>
      <c r="BO15" s="2">
        <v>0.3125</v>
      </c>
      <c r="BP15" s="2">
        <v>0.192</v>
      </c>
      <c r="BQ15" s="2">
        <v>-1E-3</v>
      </c>
      <c r="BR15" s="2">
        <v>-1E-3</v>
      </c>
      <c r="BS15" s="2">
        <v>1E-3</v>
      </c>
      <c r="BT15" s="2">
        <v>1E-3</v>
      </c>
      <c r="BU15" s="2">
        <f>SC_Rod_Spec_Table[[#This Row],[Green Min Rod Length]]</f>
        <v>-1.5599999999999999E-2</v>
      </c>
      <c r="BV15" s="2">
        <v>-1.5599999999999999E-2</v>
      </c>
      <c r="BW15" s="2">
        <v>1.5599999999999999E-2</v>
      </c>
      <c r="BX15" s="37">
        <f>SC_Rod_Spec_Table[[#This Row],[Green Max Rod Length]]</f>
        <v>1.5599999999999999E-2</v>
      </c>
      <c r="FR15" s="88" t="s">
        <v>335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  <c r="FY15" s="1">
        <v>0</v>
      </c>
      <c r="FZ15" s="1">
        <v>0</v>
      </c>
      <c r="GA15" s="1">
        <v>0</v>
      </c>
      <c r="GB15" s="1">
        <v>0.125</v>
      </c>
      <c r="GC15" s="1">
        <v>0.125</v>
      </c>
      <c r="GD15" s="1">
        <v>0</v>
      </c>
      <c r="GE15" s="1">
        <v>0</v>
      </c>
      <c r="GF15" s="1">
        <v>0.125</v>
      </c>
      <c r="GG15" s="54">
        <v>0.125</v>
      </c>
      <c r="GH15" s="72" t="s">
        <v>291</v>
      </c>
      <c r="GI15" s="72" t="s">
        <v>552</v>
      </c>
    </row>
    <row r="16" spans="2:233" x14ac:dyDescent="0.2">
      <c r="AC16" s="18" t="s">
        <v>601</v>
      </c>
      <c r="AD16" s="25">
        <v>1.59</v>
      </c>
      <c r="AE16" s="26">
        <v>1.57</v>
      </c>
      <c r="AF16" s="26">
        <v>0</v>
      </c>
      <c r="AG16" s="26">
        <v>0</v>
      </c>
      <c r="AH16" s="26">
        <v>0</v>
      </c>
      <c r="AI16" s="26">
        <v>0</v>
      </c>
      <c r="AJ16" s="27">
        <f>Spiral_Length_Table[[#This Row],[C_Long_Leg_15]]</f>
        <v>0</v>
      </c>
      <c r="AK16" s="27">
        <f>Spiral_Length_Table[[#This Row],[C_Long_Leg_16]]</f>
        <v>0</v>
      </c>
      <c r="AL16" s="27">
        <f>Spiral_Length_Table[[#This Row],[C_Long_Leg_17]]</f>
        <v>0</v>
      </c>
      <c r="AM16" s="28">
        <v>1.59</v>
      </c>
      <c r="AN16" s="28">
        <v>1.57</v>
      </c>
      <c r="AO16" s="28">
        <v>0</v>
      </c>
      <c r="AP16" s="28">
        <v>0</v>
      </c>
      <c r="AQ16" s="28">
        <v>0</v>
      </c>
      <c r="AR16" s="28">
        <v>0</v>
      </c>
      <c r="AS16" s="26">
        <v>0</v>
      </c>
      <c r="AT16" s="26">
        <v>0</v>
      </c>
      <c r="AU16" s="26">
        <v>0</v>
      </c>
      <c r="AW16" s="11" t="s">
        <v>148</v>
      </c>
      <c r="AX16" s="2">
        <v>-0.01</v>
      </c>
      <c r="AY16" s="2">
        <v>-6.8999999999999999E-3</v>
      </c>
      <c r="AZ16" s="2">
        <v>6.8999999999999999E-3</v>
      </c>
      <c r="BA16" s="2">
        <v>0.01</v>
      </c>
      <c r="BC16" s="18" t="s">
        <v>329</v>
      </c>
      <c r="BD16" s="2"/>
      <c r="BE16" s="37"/>
      <c r="BF16" s="75"/>
      <c r="BG16" s="2"/>
      <c r="BH16" s="2"/>
      <c r="BI16" s="2"/>
      <c r="BJ16" s="2">
        <v>1</v>
      </c>
      <c r="BL16" s="18" t="s">
        <v>319</v>
      </c>
      <c r="BM16" s="2" t="s">
        <v>318</v>
      </c>
      <c r="BN16" s="2" t="s">
        <v>291</v>
      </c>
      <c r="BO16" s="2">
        <v>0.375</v>
      </c>
      <c r="BP16" s="2">
        <v>0.192</v>
      </c>
      <c r="BQ16" s="2">
        <v>-1E-3</v>
      </c>
      <c r="BR16" s="2">
        <v>-1E-3</v>
      </c>
      <c r="BS16" s="2">
        <v>1E-3</v>
      </c>
      <c r="BT16" s="2">
        <v>1E-3</v>
      </c>
      <c r="BU16" s="2">
        <f>SC_Rod_Spec_Table[[#This Row],[Green Min Rod Length]]</f>
        <v>-1.5599999999999999E-2</v>
      </c>
      <c r="BV16" s="2">
        <v>-1.5599999999999999E-2</v>
      </c>
      <c r="BW16" s="2">
        <v>1.5599999999999999E-2</v>
      </c>
      <c r="BX16" s="37">
        <f>SC_Rod_Spec_Table[[#This Row],[Green Max Rod Length]]</f>
        <v>1.5599999999999999E-2</v>
      </c>
      <c r="FR16" s="87" t="s">
        <v>336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  <c r="FY16" s="1">
        <v>0</v>
      </c>
      <c r="FZ16" s="1">
        <v>0</v>
      </c>
      <c r="GA16" s="1">
        <v>0</v>
      </c>
      <c r="GB16" s="1">
        <v>0.125</v>
      </c>
      <c r="GC16" s="1">
        <v>0.125</v>
      </c>
      <c r="GD16" s="1">
        <v>0</v>
      </c>
      <c r="GE16" s="1">
        <v>0</v>
      </c>
      <c r="GF16" s="1">
        <v>0.125</v>
      </c>
      <c r="GG16" s="54">
        <v>0.125</v>
      </c>
      <c r="GH16" s="72" t="s">
        <v>291</v>
      </c>
      <c r="GI16" s="72" t="s">
        <v>552</v>
      </c>
    </row>
    <row r="17" spans="29:191" x14ac:dyDescent="0.2">
      <c r="AC17" s="18" t="s">
        <v>605</v>
      </c>
      <c r="AD17" s="25">
        <v>1.59</v>
      </c>
      <c r="AE17" s="26">
        <v>1.57</v>
      </c>
      <c r="AF17" s="26">
        <v>0</v>
      </c>
      <c r="AG17" s="26">
        <v>0</v>
      </c>
      <c r="AH17" s="26">
        <v>0</v>
      </c>
      <c r="AI17" s="26">
        <v>0</v>
      </c>
      <c r="AJ17" s="27">
        <f>Spiral_Length_Table[[#This Row],[C_Long_Leg_15]]</f>
        <v>0</v>
      </c>
      <c r="AK17" s="27">
        <f>Spiral_Length_Table[[#This Row],[C_Long_Leg_16]]</f>
        <v>0</v>
      </c>
      <c r="AL17" s="27">
        <f>Spiral_Length_Table[[#This Row],[C_Long_Leg_17]]</f>
        <v>0</v>
      </c>
      <c r="AM17" s="28">
        <v>1.59</v>
      </c>
      <c r="AN17" s="28">
        <v>1.57</v>
      </c>
      <c r="AO17" s="28">
        <v>0</v>
      </c>
      <c r="AP17" s="28">
        <v>0</v>
      </c>
      <c r="AQ17" s="28">
        <v>0</v>
      </c>
      <c r="AR17" s="28">
        <v>0</v>
      </c>
      <c r="AS17" s="26">
        <v>0</v>
      </c>
      <c r="AT17" s="26">
        <v>0</v>
      </c>
      <c r="AU17" s="26">
        <v>0</v>
      </c>
      <c r="AW17" s="11" t="s">
        <v>149</v>
      </c>
      <c r="AX17" s="2">
        <v>-0.01</v>
      </c>
      <c r="AY17" s="2">
        <v>-6.8999999999999999E-3</v>
      </c>
      <c r="AZ17" s="2">
        <v>6.8999999999999999E-3</v>
      </c>
      <c r="BA17" s="2">
        <v>0.01</v>
      </c>
      <c r="BC17" s="18" t="s">
        <v>331</v>
      </c>
      <c r="BD17" s="2"/>
      <c r="BE17" s="37"/>
      <c r="BF17" s="75"/>
      <c r="BG17" s="2"/>
      <c r="BH17" s="2"/>
      <c r="BI17" s="2"/>
      <c r="BJ17" s="2">
        <v>1</v>
      </c>
      <c r="BL17" s="18" t="s">
        <v>320</v>
      </c>
      <c r="BM17" s="2" t="s">
        <v>318</v>
      </c>
      <c r="BN17" s="2" t="s">
        <v>291</v>
      </c>
      <c r="BO17" s="2">
        <v>0.375</v>
      </c>
      <c r="BP17" s="2">
        <v>0.192</v>
      </c>
      <c r="BQ17" s="2">
        <v>-1E-3</v>
      </c>
      <c r="BR17" s="2">
        <v>-1E-3</v>
      </c>
      <c r="BS17" s="2">
        <v>1E-3</v>
      </c>
      <c r="BT17" s="2">
        <v>1E-3</v>
      </c>
      <c r="BU17" s="2">
        <f>SC_Rod_Spec_Table[[#This Row],[Green Min Rod Length]]</f>
        <v>-1.5599999999999999E-2</v>
      </c>
      <c r="BV17" s="2">
        <v>-1.5599999999999999E-2</v>
      </c>
      <c r="BW17" s="2">
        <v>1.5599999999999999E-2</v>
      </c>
      <c r="BX17" s="37">
        <f>SC_Rod_Spec_Table[[#This Row],[Green Max Rod Length]]</f>
        <v>1.5599999999999999E-2</v>
      </c>
      <c r="FR17" s="11" t="s">
        <v>337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  <c r="FY17" s="1">
        <v>0</v>
      </c>
      <c r="FZ17" s="1">
        <v>0</v>
      </c>
      <c r="GA17" s="1">
        <v>0</v>
      </c>
      <c r="GB17" s="1">
        <v>0.1875</v>
      </c>
      <c r="GC17" s="1">
        <v>0.25</v>
      </c>
      <c r="GD17" s="1">
        <v>0</v>
      </c>
      <c r="GE17" s="1">
        <v>0</v>
      </c>
      <c r="GF17" s="1">
        <v>0.1875</v>
      </c>
      <c r="GG17" s="54">
        <v>0.25</v>
      </c>
      <c r="GH17" s="72" t="s">
        <v>291</v>
      </c>
      <c r="GI17" s="72" t="s">
        <v>553</v>
      </c>
    </row>
    <row r="18" spans="29:191" x14ac:dyDescent="0.2">
      <c r="AC18" s="18" t="s">
        <v>203</v>
      </c>
      <c r="AD18" s="25">
        <v>0</v>
      </c>
      <c r="AE18" s="26">
        <v>1.1319999999999999</v>
      </c>
      <c r="AF18" s="26">
        <v>1.1160000000000001</v>
      </c>
      <c r="AG18" s="26">
        <v>0</v>
      </c>
      <c r="AH18" s="26">
        <v>1.28</v>
      </c>
      <c r="AI18" s="26">
        <v>1.264</v>
      </c>
      <c r="AJ18" s="25">
        <v>0</v>
      </c>
      <c r="AK18" s="26">
        <v>1.1319999999999999</v>
      </c>
      <c r="AL18" s="26">
        <v>1.1160000000000001</v>
      </c>
      <c r="AM18" s="25">
        <v>0</v>
      </c>
      <c r="AN18" s="26">
        <v>1.1319999999999999</v>
      </c>
      <c r="AO18" s="26">
        <v>1.1160000000000001</v>
      </c>
      <c r="AP18" s="26">
        <v>0</v>
      </c>
      <c r="AQ18" s="26">
        <v>1.28</v>
      </c>
      <c r="AR18" s="26">
        <v>1.264</v>
      </c>
      <c r="AS18" s="25">
        <v>0</v>
      </c>
      <c r="AT18" s="26">
        <v>1.1319999999999999</v>
      </c>
      <c r="AU18" s="26">
        <v>1.1160000000000001</v>
      </c>
      <c r="AW18" s="11" t="s">
        <v>150</v>
      </c>
      <c r="AX18" s="2">
        <v>0</v>
      </c>
      <c r="AY18" s="2">
        <v>0</v>
      </c>
      <c r="AZ18" s="2">
        <v>0.25</v>
      </c>
      <c r="BA18" s="2">
        <v>0.39400000000000002</v>
      </c>
      <c r="BC18" s="18" t="s">
        <v>332</v>
      </c>
      <c r="BD18" s="2"/>
      <c r="BE18" s="37"/>
      <c r="BF18" s="75"/>
      <c r="BG18" s="2"/>
      <c r="BH18" s="2"/>
      <c r="BI18" s="2"/>
      <c r="BJ18" s="2">
        <v>1</v>
      </c>
      <c r="BL18" s="18" t="s">
        <v>528</v>
      </c>
      <c r="BM18" s="2" t="s">
        <v>570</v>
      </c>
      <c r="BN18" s="2" t="s">
        <v>291</v>
      </c>
      <c r="BO18" s="2">
        <v>0.375</v>
      </c>
      <c r="BP18" s="2">
        <v>0.192</v>
      </c>
      <c r="BQ18" s="2">
        <v>-1E-3</v>
      </c>
      <c r="BR18" s="2">
        <v>-1E-3</v>
      </c>
      <c r="BS18" s="2">
        <v>1E-3</v>
      </c>
      <c r="BT18" s="2">
        <v>1E-3</v>
      </c>
      <c r="BU18" s="2">
        <f>SC_Rod_Spec_Table[[#This Row],[Green Min Rod Length]]</f>
        <v>-1.5599999999999999E-2</v>
      </c>
      <c r="BV18" s="2">
        <v>-1.5599999999999999E-2</v>
      </c>
      <c r="BW18" s="2">
        <v>1.5599999999999999E-2</v>
      </c>
      <c r="BX18" s="37">
        <f>SC_Rod_Spec_Table[[#This Row],[Green Max Rod Length]]</f>
        <v>1.5599999999999999E-2</v>
      </c>
      <c r="FR18" s="11" t="s">
        <v>624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0.1875</v>
      </c>
      <c r="GC18" s="1">
        <v>0.25</v>
      </c>
      <c r="GD18" s="1">
        <v>0</v>
      </c>
      <c r="GE18" s="1">
        <v>0</v>
      </c>
      <c r="GF18" s="1">
        <v>0.1875</v>
      </c>
      <c r="GG18" s="54">
        <v>0.25</v>
      </c>
      <c r="GH18" s="72" t="s">
        <v>291</v>
      </c>
      <c r="GI18" s="72" t="s">
        <v>553</v>
      </c>
    </row>
    <row r="19" spans="29:191" x14ac:dyDescent="0.2">
      <c r="AC19" s="18" t="s">
        <v>137</v>
      </c>
      <c r="AD19" s="25">
        <v>0</v>
      </c>
      <c r="AE19" s="26">
        <v>1.4770000000000001</v>
      </c>
      <c r="AF19" s="26">
        <v>1.4610000000000001</v>
      </c>
      <c r="AG19" s="26">
        <v>0</v>
      </c>
      <c r="AH19" s="26">
        <v>1.625</v>
      </c>
      <c r="AI19" s="26">
        <v>1.609</v>
      </c>
      <c r="AJ19" s="25">
        <v>0</v>
      </c>
      <c r="AK19" s="26">
        <v>1.4770000000000001</v>
      </c>
      <c r="AL19" s="26">
        <v>1.4610000000000001</v>
      </c>
      <c r="AM19" s="25">
        <v>0</v>
      </c>
      <c r="AN19" s="26">
        <v>1.4770000000000001</v>
      </c>
      <c r="AO19" s="26">
        <v>1.4610000000000001</v>
      </c>
      <c r="AP19" s="26">
        <v>0</v>
      </c>
      <c r="AQ19" s="26">
        <v>1.625</v>
      </c>
      <c r="AR19" s="26">
        <v>1.609</v>
      </c>
      <c r="AS19" s="25">
        <v>0</v>
      </c>
      <c r="AT19" s="26">
        <v>1.4770000000000001</v>
      </c>
      <c r="AU19" s="26">
        <v>1.4610000000000001</v>
      </c>
      <c r="AW19" s="11" t="s">
        <v>178</v>
      </c>
      <c r="AX19" s="2">
        <v>0</v>
      </c>
      <c r="AY19" s="2">
        <v>0</v>
      </c>
      <c r="AZ19" s="2">
        <v>0</v>
      </c>
      <c r="BA19" s="2">
        <v>0</v>
      </c>
      <c r="BC19" s="18" t="s">
        <v>333</v>
      </c>
      <c r="BD19" s="2"/>
      <c r="BE19" s="37"/>
      <c r="BF19" s="75"/>
      <c r="BG19" s="2"/>
      <c r="BH19" s="2"/>
      <c r="BI19" s="2"/>
      <c r="BJ19" s="2">
        <v>1</v>
      </c>
      <c r="BL19" s="18" t="s">
        <v>321</v>
      </c>
      <c r="BM19" s="2" t="s">
        <v>318</v>
      </c>
      <c r="BN19" s="2" t="s">
        <v>291</v>
      </c>
      <c r="BO19" s="2">
        <v>0.375</v>
      </c>
      <c r="BP19" s="2">
        <v>0.192</v>
      </c>
      <c r="BQ19" s="2">
        <v>-1E-3</v>
      </c>
      <c r="BR19" s="2">
        <v>-1E-3</v>
      </c>
      <c r="BS19" s="2">
        <v>1E-3</v>
      </c>
      <c r="BT19" s="2">
        <v>1E-3</v>
      </c>
      <c r="BU19" s="2">
        <f>SC_Rod_Spec_Table[[#This Row],[Green Min Rod Length]]</f>
        <v>-1.5599999999999999E-2</v>
      </c>
      <c r="BV19" s="2">
        <v>-1.5599999999999999E-2</v>
      </c>
      <c r="BW19" s="2">
        <v>1.5599999999999999E-2</v>
      </c>
      <c r="BX19" s="37">
        <f>SC_Rod_Spec_Table[[#This Row],[Green Max Rod Length]]</f>
        <v>1.5599999999999999E-2</v>
      </c>
      <c r="FR19" s="11" t="s">
        <v>338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  <c r="FY19" s="1">
        <v>0</v>
      </c>
      <c r="FZ19" s="1">
        <v>0</v>
      </c>
      <c r="GA19" s="1">
        <v>0</v>
      </c>
      <c r="GB19" s="1">
        <v>0.1875</v>
      </c>
      <c r="GC19" s="1">
        <v>0.25</v>
      </c>
      <c r="GD19" s="1">
        <v>0</v>
      </c>
      <c r="GE19" s="1">
        <v>0</v>
      </c>
      <c r="GF19" s="1">
        <v>0.1875</v>
      </c>
      <c r="GG19" s="54">
        <v>0.25</v>
      </c>
      <c r="GH19" s="72" t="s">
        <v>291</v>
      </c>
      <c r="GI19" s="72" t="s">
        <v>553</v>
      </c>
    </row>
    <row r="20" spans="29:191" x14ac:dyDescent="0.2">
      <c r="AC20" s="21" t="s">
        <v>246</v>
      </c>
      <c r="AD20" s="25">
        <v>0</v>
      </c>
      <c r="AE20" s="26">
        <v>1.4770000000000001</v>
      </c>
      <c r="AF20" s="26">
        <v>1.4610000000000001</v>
      </c>
      <c r="AG20" s="26">
        <v>0</v>
      </c>
      <c r="AH20" s="26">
        <v>1.625</v>
      </c>
      <c r="AI20" s="26">
        <v>1.609</v>
      </c>
      <c r="AJ20" s="25">
        <v>0</v>
      </c>
      <c r="AK20" s="26">
        <v>1.4770000000000001</v>
      </c>
      <c r="AL20" s="26">
        <v>1.4610000000000001</v>
      </c>
      <c r="AM20" s="28">
        <v>0</v>
      </c>
      <c r="AN20" s="28">
        <v>2.14</v>
      </c>
      <c r="AO20" s="28">
        <v>2.1240000000000001</v>
      </c>
      <c r="AP20" s="28">
        <v>0</v>
      </c>
      <c r="AQ20" s="28">
        <v>2.2879999999999998</v>
      </c>
      <c r="AR20" s="28">
        <v>2.2719999999999998</v>
      </c>
      <c r="AS20" s="28">
        <v>0</v>
      </c>
      <c r="AT20" s="28">
        <v>2.14</v>
      </c>
      <c r="AU20" s="28">
        <v>2.1240000000000001</v>
      </c>
      <c r="AW20" s="11" t="s">
        <v>179</v>
      </c>
      <c r="AX20" s="2">
        <v>0</v>
      </c>
      <c r="AY20" s="2">
        <v>0</v>
      </c>
      <c r="AZ20" s="2">
        <v>0</v>
      </c>
      <c r="BA20" s="2">
        <v>0</v>
      </c>
      <c r="BC20" s="18" t="s">
        <v>334</v>
      </c>
      <c r="BD20" s="2"/>
      <c r="BE20" s="37"/>
      <c r="BF20" s="75"/>
      <c r="BG20" s="2"/>
      <c r="BH20" s="2"/>
      <c r="BI20" s="2"/>
      <c r="BJ20" s="2">
        <v>1</v>
      </c>
      <c r="BL20" s="19" t="s">
        <v>322</v>
      </c>
      <c r="BM20" s="20" t="s">
        <v>318</v>
      </c>
      <c r="BN20" s="20" t="s">
        <v>291</v>
      </c>
      <c r="BO20" s="20">
        <v>0.375</v>
      </c>
      <c r="BP20" s="20">
        <v>0.192</v>
      </c>
      <c r="BQ20" s="2">
        <v>-1E-3</v>
      </c>
      <c r="BR20" s="2">
        <v>-1E-3</v>
      </c>
      <c r="BS20" s="2">
        <v>1E-3</v>
      </c>
      <c r="BT20" s="2">
        <v>1E-3</v>
      </c>
      <c r="BU20" s="20">
        <f>SC_Rod_Spec_Table[[#This Row],[Green Min Rod Length]]</f>
        <v>-1.5599999999999999E-2</v>
      </c>
      <c r="BV20" s="20">
        <v>-1.5599999999999999E-2</v>
      </c>
      <c r="BW20" s="20">
        <v>1.5599999999999999E-2</v>
      </c>
      <c r="BX20" s="39">
        <f>SC_Rod_Spec_Table[[#This Row],[Green Max Rod Length]]</f>
        <v>1.5599999999999999E-2</v>
      </c>
      <c r="FR20" s="11" t="s">
        <v>625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  <c r="FY20" s="1">
        <v>0</v>
      </c>
      <c r="FZ20" s="1">
        <v>0</v>
      </c>
      <c r="GA20" s="1">
        <v>0</v>
      </c>
      <c r="GB20" s="1">
        <v>0.1875</v>
      </c>
      <c r="GC20" s="1">
        <v>0.25</v>
      </c>
      <c r="GD20" s="1">
        <v>0</v>
      </c>
      <c r="GE20" s="1">
        <v>0</v>
      </c>
      <c r="GF20" s="1">
        <v>0.1875</v>
      </c>
      <c r="GG20" s="54">
        <v>0.25</v>
      </c>
      <c r="GH20" s="72" t="s">
        <v>291</v>
      </c>
      <c r="GI20" s="72" t="s">
        <v>553</v>
      </c>
    </row>
    <row r="21" spans="29:191" x14ac:dyDescent="0.2">
      <c r="AC21" s="18" t="s">
        <v>239</v>
      </c>
      <c r="AD21" s="25">
        <v>0</v>
      </c>
      <c r="AE21" s="26">
        <v>1.4770000000000001</v>
      </c>
      <c r="AF21" s="26">
        <v>1.4610000000000001</v>
      </c>
      <c r="AG21" s="26">
        <v>0</v>
      </c>
      <c r="AH21" s="26">
        <v>1.625</v>
      </c>
      <c r="AI21" s="26">
        <v>1.609</v>
      </c>
      <c r="AJ21" s="25">
        <v>0</v>
      </c>
      <c r="AK21" s="26">
        <v>1.4770000000000001</v>
      </c>
      <c r="AL21" s="26">
        <v>1.4610000000000001</v>
      </c>
      <c r="AM21" s="28">
        <v>0</v>
      </c>
      <c r="AN21" s="28">
        <v>1.9370000000000001</v>
      </c>
      <c r="AO21" s="28">
        <v>1.921</v>
      </c>
      <c r="AP21" s="28">
        <v>0</v>
      </c>
      <c r="AQ21" s="28">
        <v>2.085</v>
      </c>
      <c r="AR21" s="28">
        <v>2.069</v>
      </c>
      <c r="AS21" s="28">
        <v>0</v>
      </c>
      <c r="AT21" s="28">
        <v>1.9370000000000001</v>
      </c>
      <c r="AU21" s="28">
        <v>1.921</v>
      </c>
      <c r="AW21" s="11" t="s">
        <v>180</v>
      </c>
      <c r="AX21" s="2">
        <v>0</v>
      </c>
      <c r="AY21" s="2">
        <v>0</v>
      </c>
      <c r="AZ21" s="2">
        <v>0</v>
      </c>
      <c r="BA21" s="2">
        <v>0</v>
      </c>
      <c r="BC21" s="18" t="s">
        <v>335</v>
      </c>
      <c r="BD21" s="2"/>
      <c r="BE21" s="37"/>
      <c r="BF21" s="75"/>
      <c r="BG21" s="2"/>
      <c r="BH21" s="2"/>
      <c r="BI21" s="2"/>
      <c r="BJ21" s="2">
        <v>1</v>
      </c>
      <c r="BL21" s="19" t="s">
        <v>324</v>
      </c>
      <c r="BM21" s="20" t="s">
        <v>341</v>
      </c>
      <c r="BN21" s="20" t="s">
        <v>291</v>
      </c>
      <c r="BO21" s="20">
        <v>2.375</v>
      </c>
      <c r="BP21" s="20">
        <v>0.106</v>
      </c>
      <c r="BQ21" s="2">
        <v>-1E-3</v>
      </c>
      <c r="BR21" s="2">
        <v>-1E-3</v>
      </c>
      <c r="BS21" s="2">
        <v>1E-3</v>
      </c>
      <c r="BT21" s="2">
        <v>1E-3</v>
      </c>
      <c r="BU21" s="20">
        <f>SC_Rod_Spec_Table[[#This Row],[Green Min Rod Length]]</f>
        <v>-3.1300000000000001E-2</v>
      </c>
      <c r="BV21" s="20">
        <v>-3.1300000000000001E-2</v>
      </c>
      <c r="BW21" s="20">
        <v>0</v>
      </c>
      <c r="BX21" s="39">
        <f>SC_Rod_Spec_Table[[#This Row],[Green Max Rod Length]]</f>
        <v>0</v>
      </c>
      <c r="FR21" s="11" t="s">
        <v>549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  <c r="FY21" s="1">
        <v>0</v>
      </c>
      <c r="FZ21" s="1">
        <v>0</v>
      </c>
      <c r="GA21" s="1">
        <v>0</v>
      </c>
      <c r="GB21" s="1">
        <v>0.1875</v>
      </c>
      <c r="GC21" s="1">
        <v>0.25</v>
      </c>
      <c r="GD21" s="1">
        <v>0</v>
      </c>
      <c r="GE21" s="1">
        <v>0</v>
      </c>
      <c r="GF21" s="1">
        <v>0.1875</v>
      </c>
      <c r="GG21" s="54">
        <v>0.25</v>
      </c>
      <c r="GH21" s="72" t="s">
        <v>291</v>
      </c>
      <c r="GI21" s="72" t="s">
        <v>553</v>
      </c>
    </row>
    <row r="22" spans="29:191" x14ac:dyDescent="0.2">
      <c r="AC22" s="18" t="s">
        <v>213</v>
      </c>
      <c r="AD22" s="25">
        <v>1.6559999999999999</v>
      </c>
      <c r="AE22" s="26">
        <v>1.64</v>
      </c>
      <c r="AF22" s="26">
        <v>1.625</v>
      </c>
      <c r="AG22" s="26">
        <v>1.8049999999999999</v>
      </c>
      <c r="AH22" s="26">
        <v>1.7909999999999999</v>
      </c>
      <c r="AI22" s="26">
        <v>1.7549999999999999</v>
      </c>
      <c r="AJ22" s="25">
        <v>1.6559999999999999</v>
      </c>
      <c r="AK22" s="26">
        <v>1.64</v>
      </c>
      <c r="AL22" s="26">
        <v>1.625</v>
      </c>
      <c r="AM22" s="25">
        <v>1.6559999999999999</v>
      </c>
      <c r="AN22" s="26">
        <v>1.64</v>
      </c>
      <c r="AO22" s="26">
        <v>1.625</v>
      </c>
      <c r="AP22" s="26">
        <v>1.8049999999999999</v>
      </c>
      <c r="AQ22" s="26">
        <v>1.7909999999999999</v>
      </c>
      <c r="AR22" s="26">
        <v>1.7549999999999999</v>
      </c>
      <c r="AS22" s="25">
        <v>1.6559999999999999</v>
      </c>
      <c r="AT22" s="26">
        <v>1.64</v>
      </c>
      <c r="AU22" s="26">
        <v>1.625</v>
      </c>
      <c r="BC22" s="18" t="s">
        <v>336</v>
      </c>
      <c r="BD22" s="2"/>
      <c r="BE22" s="37"/>
      <c r="BF22" s="75"/>
      <c r="BG22" s="2"/>
      <c r="BH22" s="2"/>
      <c r="BI22" s="2"/>
      <c r="BJ22" s="2">
        <v>1</v>
      </c>
      <c r="BL22" s="19" t="s">
        <v>325</v>
      </c>
      <c r="BM22" s="20" t="s">
        <v>341</v>
      </c>
      <c r="BN22" s="20" t="s">
        <v>291</v>
      </c>
      <c r="BO22" s="20">
        <v>0.375</v>
      </c>
      <c r="BP22" s="20">
        <v>0.106</v>
      </c>
      <c r="BQ22" s="2">
        <v>-1E-3</v>
      </c>
      <c r="BR22" s="2">
        <v>-1E-3</v>
      </c>
      <c r="BS22" s="2">
        <v>1E-3</v>
      </c>
      <c r="BT22" s="2">
        <v>1E-3</v>
      </c>
      <c r="BU22" s="20">
        <f>SC_Rod_Spec_Table[[#This Row],[Green Min Rod Length]]</f>
        <v>-3.1300000000000001E-2</v>
      </c>
      <c r="BV22" s="20">
        <v>-3.1300000000000001E-2</v>
      </c>
      <c r="BW22" s="20">
        <v>0</v>
      </c>
      <c r="BX22" s="39">
        <f>SC_Rod_Spec_Table[[#This Row],[Green Max Rod Length]]</f>
        <v>0</v>
      </c>
      <c r="FR22" s="11" t="s">
        <v>550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  <c r="FY22" s="1">
        <v>0</v>
      </c>
      <c r="FZ22" s="1">
        <v>0</v>
      </c>
      <c r="GA22" s="1">
        <v>0</v>
      </c>
      <c r="GB22" s="1">
        <v>0.1875</v>
      </c>
      <c r="GC22" s="1">
        <v>0.25</v>
      </c>
      <c r="GD22" s="1">
        <v>0</v>
      </c>
      <c r="GE22" s="1">
        <v>0</v>
      </c>
      <c r="GF22" s="1">
        <v>0.1875</v>
      </c>
      <c r="GG22" s="54">
        <v>0.25</v>
      </c>
      <c r="GH22" s="72" t="s">
        <v>291</v>
      </c>
      <c r="GI22" s="72" t="s">
        <v>553</v>
      </c>
    </row>
    <row r="23" spans="29:191" x14ac:dyDescent="0.2">
      <c r="AC23" s="18" t="s">
        <v>224</v>
      </c>
      <c r="AD23" s="25">
        <v>1.9550000000000001</v>
      </c>
      <c r="AE23" s="26">
        <v>1.9370000000000001</v>
      </c>
      <c r="AF23" s="26">
        <v>1.919</v>
      </c>
      <c r="AG23" s="26">
        <v>2.1040000000000001</v>
      </c>
      <c r="AH23" s="26">
        <v>2.0859999999999999</v>
      </c>
      <c r="AI23" s="26">
        <v>2.0680000000000001</v>
      </c>
      <c r="AJ23" s="25">
        <v>1.9550000000000001</v>
      </c>
      <c r="AK23" s="26">
        <v>1.9370000000000001</v>
      </c>
      <c r="AL23" s="26">
        <v>1.919</v>
      </c>
      <c r="AM23" s="25">
        <v>1.9550000000000001</v>
      </c>
      <c r="AN23" s="26">
        <v>1.9370000000000001</v>
      </c>
      <c r="AO23" s="26">
        <v>1.919</v>
      </c>
      <c r="AP23" s="26">
        <v>2.1040000000000001</v>
      </c>
      <c r="AQ23" s="26">
        <v>2.0859999999999999</v>
      </c>
      <c r="AR23" s="26">
        <v>2.0680000000000001</v>
      </c>
      <c r="AS23" s="25">
        <v>1.9550000000000001</v>
      </c>
      <c r="AT23" s="26">
        <v>1.9370000000000001</v>
      </c>
      <c r="AU23" s="26">
        <v>1.919</v>
      </c>
      <c r="BC23" s="18" t="s">
        <v>337</v>
      </c>
      <c r="BD23" s="2"/>
      <c r="BE23" s="37"/>
      <c r="BF23" s="75"/>
      <c r="BG23" s="2"/>
      <c r="BH23" s="2"/>
      <c r="BI23" s="2"/>
      <c r="BJ23" s="2">
        <v>1</v>
      </c>
      <c r="BL23" s="19" t="s">
        <v>326</v>
      </c>
      <c r="BM23" s="20" t="s">
        <v>341</v>
      </c>
      <c r="BN23" s="20" t="s">
        <v>291</v>
      </c>
      <c r="BO23" s="20">
        <v>2.375</v>
      </c>
      <c r="BP23" s="20">
        <v>0.106</v>
      </c>
      <c r="BQ23" s="2">
        <v>-1E-3</v>
      </c>
      <c r="BR23" s="2">
        <v>-1E-3</v>
      </c>
      <c r="BS23" s="2">
        <v>1E-3</v>
      </c>
      <c r="BT23" s="2">
        <v>1E-3</v>
      </c>
      <c r="BU23" s="20">
        <f>SC_Rod_Spec_Table[[#This Row],[Green Min Rod Length]]</f>
        <v>-3.1300000000000001E-2</v>
      </c>
      <c r="BV23" s="20">
        <v>-3.1300000000000001E-2</v>
      </c>
      <c r="BW23" s="20">
        <v>0</v>
      </c>
      <c r="BX23" s="39">
        <f>SC_Rod_Spec_Table[[#This Row],[Green Max Rod Length]]</f>
        <v>0</v>
      </c>
      <c r="FR23" s="11" t="s">
        <v>319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  <c r="FY23" s="1">
        <v>0</v>
      </c>
      <c r="FZ23" s="1">
        <v>0</v>
      </c>
      <c r="GA23" s="1">
        <v>0</v>
      </c>
      <c r="GB23" s="1">
        <v>0.125</v>
      </c>
      <c r="GC23" s="1">
        <v>0.125</v>
      </c>
      <c r="GD23" s="1">
        <v>0</v>
      </c>
      <c r="GE23" s="1">
        <v>0</v>
      </c>
      <c r="GF23" s="1">
        <v>0.125</v>
      </c>
      <c r="GG23" s="54">
        <v>0.125</v>
      </c>
      <c r="GH23" s="72" t="s">
        <v>291</v>
      </c>
      <c r="GI23" s="72" t="s">
        <v>548</v>
      </c>
    </row>
    <row r="24" spans="29:191" x14ac:dyDescent="0.2">
      <c r="AC24" s="18" t="s">
        <v>204</v>
      </c>
      <c r="AD24" s="25">
        <v>0</v>
      </c>
      <c r="AE24" s="26">
        <v>1.121</v>
      </c>
      <c r="AF24" s="26">
        <v>1.105</v>
      </c>
      <c r="AG24" s="26">
        <v>0</v>
      </c>
      <c r="AH24" s="26">
        <v>1.2689999999999999</v>
      </c>
      <c r="AI24" s="26">
        <v>1.2529999999999999</v>
      </c>
      <c r="AJ24" s="25">
        <v>0</v>
      </c>
      <c r="AK24" s="26">
        <v>1.121</v>
      </c>
      <c r="AL24" s="26">
        <v>1.105</v>
      </c>
      <c r="AM24" s="25">
        <v>0</v>
      </c>
      <c r="AN24" s="26">
        <v>1.121</v>
      </c>
      <c r="AO24" s="26">
        <v>1.105</v>
      </c>
      <c r="AP24" s="26">
        <v>0</v>
      </c>
      <c r="AQ24" s="26">
        <v>1.2689999999999999</v>
      </c>
      <c r="AR24" s="26">
        <v>1.2529999999999999</v>
      </c>
      <c r="AS24" s="25">
        <v>0</v>
      </c>
      <c r="AT24" s="26">
        <v>1.121</v>
      </c>
      <c r="AU24" s="26">
        <v>1.105</v>
      </c>
      <c r="BC24" s="18" t="s">
        <v>624</v>
      </c>
      <c r="BD24" s="2"/>
      <c r="BE24" s="37"/>
      <c r="BF24" s="75"/>
      <c r="BG24" s="2"/>
      <c r="BH24" s="2"/>
      <c r="BI24" s="2"/>
      <c r="BJ24" s="2">
        <v>1</v>
      </c>
      <c r="BL24" s="19" t="s">
        <v>327</v>
      </c>
      <c r="BM24" s="20" t="s">
        <v>341</v>
      </c>
      <c r="BN24" s="20" t="s">
        <v>291</v>
      </c>
      <c r="BO24" s="20">
        <v>0.375</v>
      </c>
      <c r="BP24" s="20">
        <v>0.106</v>
      </c>
      <c r="BQ24" s="2">
        <v>-1E-3</v>
      </c>
      <c r="BR24" s="2">
        <v>-1E-3</v>
      </c>
      <c r="BS24" s="2">
        <v>1E-3</v>
      </c>
      <c r="BT24" s="2">
        <v>1E-3</v>
      </c>
      <c r="BU24" s="20">
        <f>SC_Rod_Spec_Table[[#This Row],[Green Min Rod Length]]</f>
        <v>-3.1300000000000001E-2</v>
      </c>
      <c r="BV24" s="20">
        <v>-3.1300000000000001E-2</v>
      </c>
      <c r="BW24" s="20">
        <v>0</v>
      </c>
      <c r="BX24" s="39">
        <f>SC_Rod_Spec_Table[[#This Row],[Green Max Rod Length]]</f>
        <v>0</v>
      </c>
      <c r="FR24" s="11" t="s">
        <v>320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  <c r="FY24" s="1">
        <v>0</v>
      </c>
      <c r="FZ24" s="1">
        <v>0</v>
      </c>
      <c r="GA24" s="1">
        <v>0</v>
      </c>
      <c r="GB24" s="1">
        <v>0.125</v>
      </c>
      <c r="GC24" s="1">
        <v>0.125</v>
      </c>
      <c r="GD24" s="1">
        <v>0</v>
      </c>
      <c r="GE24" s="1">
        <v>0</v>
      </c>
      <c r="GF24" s="1">
        <v>0.125</v>
      </c>
      <c r="GG24" s="54">
        <v>0.125</v>
      </c>
      <c r="GH24" s="72" t="s">
        <v>291</v>
      </c>
      <c r="GI24" s="72" t="s">
        <v>548</v>
      </c>
    </row>
    <row r="25" spans="29:191" x14ac:dyDescent="0.2">
      <c r="AC25" s="21" t="s">
        <v>139</v>
      </c>
      <c r="AD25" s="25">
        <v>0</v>
      </c>
      <c r="AE25" s="26">
        <v>1.4690000000000001</v>
      </c>
      <c r="AF25" s="26">
        <v>1.4530000000000001</v>
      </c>
      <c r="AG25" s="26">
        <v>0</v>
      </c>
      <c r="AH25" s="26">
        <v>1.617</v>
      </c>
      <c r="AI25" s="26">
        <v>1.601</v>
      </c>
      <c r="AJ25" s="25">
        <v>0</v>
      </c>
      <c r="AK25" s="26">
        <v>1.4690000000000001</v>
      </c>
      <c r="AL25" s="26">
        <v>1.4530000000000001</v>
      </c>
      <c r="AM25" s="25">
        <v>0</v>
      </c>
      <c r="AN25" s="26">
        <v>1.4690000000000001</v>
      </c>
      <c r="AO25" s="26">
        <v>1.4530000000000001</v>
      </c>
      <c r="AP25" s="26">
        <v>0</v>
      </c>
      <c r="AQ25" s="26">
        <v>1.617</v>
      </c>
      <c r="AR25" s="26">
        <v>1.601</v>
      </c>
      <c r="AS25" s="25">
        <v>0</v>
      </c>
      <c r="AT25" s="26">
        <v>1.4690000000000001</v>
      </c>
      <c r="AU25" s="26">
        <v>1.4530000000000001</v>
      </c>
      <c r="BC25" s="18" t="s">
        <v>338</v>
      </c>
      <c r="BD25" s="2"/>
      <c r="BE25" s="37"/>
      <c r="BF25" s="75"/>
      <c r="BG25" s="2"/>
      <c r="BH25" s="2"/>
      <c r="BI25" s="2"/>
      <c r="BJ25" s="2">
        <v>1</v>
      </c>
      <c r="BL25" s="19" t="s">
        <v>328</v>
      </c>
      <c r="BM25" s="20" t="s">
        <v>341</v>
      </c>
      <c r="BN25" s="20" t="s">
        <v>291</v>
      </c>
      <c r="BO25" s="20">
        <v>0.375</v>
      </c>
      <c r="BP25" s="20">
        <v>0.106</v>
      </c>
      <c r="BQ25" s="2">
        <v>-1E-3</v>
      </c>
      <c r="BR25" s="2">
        <v>-1E-3</v>
      </c>
      <c r="BS25" s="2">
        <v>1E-3</v>
      </c>
      <c r="BT25" s="2">
        <v>1E-3</v>
      </c>
      <c r="BU25" s="20">
        <f>SC_Rod_Spec_Table[[#This Row],[Green Min Rod Length]]</f>
        <v>-3.1300000000000001E-2</v>
      </c>
      <c r="BV25" s="20">
        <v>-3.1300000000000001E-2</v>
      </c>
      <c r="BW25" s="20">
        <v>0</v>
      </c>
      <c r="BX25" s="39">
        <f>SC_Rod_Spec_Table[[#This Row],[Green Max Rod Length]]</f>
        <v>0</v>
      </c>
      <c r="FR25" s="11" t="s">
        <v>528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  <c r="FY25" s="1">
        <v>0</v>
      </c>
      <c r="FZ25" s="1">
        <v>0</v>
      </c>
      <c r="GA25" s="1">
        <v>0</v>
      </c>
      <c r="GB25" s="1">
        <v>0.125</v>
      </c>
      <c r="GC25" s="1">
        <v>0.125</v>
      </c>
      <c r="GD25" s="1">
        <v>0</v>
      </c>
      <c r="GE25" s="1">
        <v>0</v>
      </c>
      <c r="GF25" s="1">
        <v>0.125</v>
      </c>
      <c r="GG25" s="54">
        <v>0.125</v>
      </c>
      <c r="GH25" s="72" t="s">
        <v>291</v>
      </c>
      <c r="GI25" s="72" t="s">
        <v>548</v>
      </c>
    </row>
    <row r="26" spans="29:191" x14ac:dyDescent="0.2">
      <c r="AC26" s="21" t="s">
        <v>247</v>
      </c>
      <c r="AD26" s="25">
        <v>0</v>
      </c>
      <c r="AE26" s="26">
        <v>1.4690000000000001</v>
      </c>
      <c r="AF26" s="26">
        <v>1.4530000000000001</v>
      </c>
      <c r="AG26" s="26">
        <v>0</v>
      </c>
      <c r="AH26" s="26">
        <v>1.617</v>
      </c>
      <c r="AI26" s="26">
        <v>1.601</v>
      </c>
      <c r="AJ26" s="25">
        <v>0</v>
      </c>
      <c r="AK26" s="26">
        <v>1.4690000000000001</v>
      </c>
      <c r="AL26" s="26">
        <v>1.4530000000000001</v>
      </c>
      <c r="AM26" s="28">
        <v>0</v>
      </c>
      <c r="AN26" s="28">
        <v>2.1339999999999999</v>
      </c>
      <c r="AO26" s="28">
        <v>2.1179999999999999</v>
      </c>
      <c r="AP26" s="28">
        <v>0</v>
      </c>
      <c r="AQ26" s="28">
        <v>2.282</v>
      </c>
      <c r="AR26" s="28">
        <v>2.266</v>
      </c>
      <c r="AS26" s="28">
        <v>0</v>
      </c>
      <c r="AT26" s="28">
        <v>2.1339999999999999</v>
      </c>
      <c r="AU26" s="28">
        <v>2.1179999999999999</v>
      </c>
      <c r="BC26" s="18" t="s">
        <v>625</v>
      </c>
      <c r="BD26" s="2"/>
      <c r="BE26" s="37"/>
      <c r="BF26" s="75"/>
      <c r="BG26" s="2"/>
      <c r="BH26" s="2"/>
      <c r="BI26" s="2"/>
      <c r="BJ26" s="2">
        <v>1</v>
      </c>
      <c r="BL26" s="18" t="s">
        <v>330</v>
      </c>
      <c r="BM26" s="20" t="s">
        <v>341</v>
      </c>
      <c r="BN26" s="20" t="s">
        <v>291</v>
      </c>
      <c r="BO26" s="2">
        <v>0.375</v>
      </c>
      <c r="BP26" s="20">
        <v>0.106</v>
      </c>
      <c r="BQ26" s="2">
        <v>-1E-3</v>
      </c>
      <c r="BR26" s="2">
        <v>-1E-3</v>
      </c>
      <c r="BS26" s="2">
        <v>1E-3</v>
      </c>
      <c r="BT26" s="2">
        <v>1E-3</v>
      </c>
      <c r="BU26" s="20">
        <f>SC_Rod_Spec_Table[[#This Row],[Green Min Rod Length]]</f>
        <v>-3.1300000000000001E-2</v>
      </c>
      <c r="BV26" s="20">
        <v>-3.1300000000000001E-2</v>
      </c>
      <c r="BW26" s="20">
        <v>0</v>
      </c>
      <c r="BX26" s="39">
        <f>SC_Rod_Spec_Table[[#This Row],[Green Max Rod Length]]</f>
        <v>0</v>
      </c>
      <c r="FR26" s="11" t="s">
        <v>529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  <c r="FY26" s="1">
        <v>0</v>
      </c>
      <c r="FZ26" s="1">
        <v>0</v>
      </c>
      <c r="GA26" s="1">
        <v>0</v>
      </c>
      <c r="GB26" s="1">
        <v>0.125</v>
      </c>
      <c r="GC26" s="1">
        <v>0.125</v>
      </c>
      <c r="GD26" s="1">
        <v>0</v>
      </c>
      <c r="GE26" s="1">
        <v>0</v>
      </c>
      <c r="GF26" s="1">
        <v>0.125</v>
      </c>
      <c r="GG26" s="54">
        <v>0.125</v>
      </c>
      <c r="GH26" s="72" t="s">
        <v>291</v>
      </c>
      <c r="GI26" s="72" t="s">
        <v>548</v>
      </c>
    </row>
    <row r="27" spans="29:191" x14ac:dyDescent="0.2">
      <c r="AC27" s="21" t="s">
        <v>240</v>
      </c>
      <c r="AD27" s="25">
        <v>0</v>
      </c>
      <c r="AE27" s="26">
        <v>1.4690000000000001</v>
      </c>
      <c r="AF27" s="26">
        <v>1.4530000000000001</v>
      </c>
      <c r="AG27" s="26">
        <v>0</v>
      </c>
      <c r="AH27" s="26">
        <v>1.617</v>
      </c>
      <c r="AI27" s="26">
        <v>1.601</v>
      </c>
      <c r="AJ27" s="25">
        <v>0</v>
      </c>
      <c r="AK27" s="26">
        <v>1.4690000000000001</v>
      </c>
      <c r="AL27" s="26">
        <v>1.4530000000000001</v>
      </c>
      <c r="AM27" s="28">
        <v>0</v>
      </c>
      <c r="AN27" s="28">
        <v>1.931</v>
      </c>
      <c r="AO27" s="28">
        <v>1.915</v>
      </c>
      <c r="AP27" s="28">
        <v>0</v>
      </c>
      <c r="AQ27" s="28">
        <v>2.0790000000000002</v>
      </c>
      <c r="AR27" s="28">
        <v>2.069</v>
      </c>
      <c r="AS27" s="28">
        <v>0</v>
      </c>
      <c r="AT27" s="28">
        <v>1.931</v>
      </c>
      <c r="AU27" s="28">
        <v>1.915</v>
      </c>
      <c r="BC27" s="18" t="s">
        <v>549</v>
      </c>
      <c r="BD27" s="2"/>
      <c r="BE27" s="37"/>
      <c r="BF27" s="75"/>
      <c r="BG27" s="2"/>
      <c r="BH27" s="2"/>
      <c r="BI27" s="2"/>
      <c r="BJ27" s="2">
        <v>1</v>
      </c>
      <c r="BL27" s="19" t="s">
        <v>329</v>
      </c>
      <c r="BM27" s="20" t="s">
        <v>341</v>
      </c>
      <c r="BN27" s="20" t="s">
        <v>291</v>
      </c>
      <c r="BO27" s="20">
        <v>0.375</v>
      </c>
      <c r="BP27" s="20">
        <v>0.106</v>
      </c>
      <c r="BQ27" s="2">
        <v>-1E-3</v>
      </c>
      <c r="BR27" s="2">
        <v>-1E-3</v>
      </c>
      <c r="BS27" s="2">
        <v>1E-3</v>
      </c>
      <c r="BT27" s="2">
        <v>1E-3</v>
      </c>
      <c r="BU27" s="20">
        <f>SC_Rod_Spec_Table[[#This Row],[Green Min Rod Length]]</f>
        <v>-3.1300000000000001E-2</v>
      </c>
      <c r="BV27" s="20">
        <v>-3.1300000000000001E-2</v>
      </c>
      <c r="BW27" s="20">
        <v>0</v>
      </c>
      <c r="BX27" s="39">
        <f>SC_Rod_Spec_Table[[#This Row],[Green Max Rod Length]]</f>
        <v>0</v>
      </c>
      <c r="FR27" s="11" t="s">
        <v>321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  <c r="FY27" s="1">
        <v>0</v>
      </c>
      <c r="FZ27" s="1">
        <v>0</v>
      </c>
      <c r="GA27" s="1">
        <v>0</v>
      </c>
      <c r="GB27" s="1">
        <v>0.125</v>
      </c>
      <c r="GC27" s="1">
        <v>0.125</v>
      </c>
      <c r="GD27" s="1">
        <v>0</v>
      </c>
      <c r="GE27" s="1">
        <v>0</v>
      </c>
      <c r="GF27" s="1">
        <v>0.125</v>
      </c>
      <c r="GG27" s="54">
        <v>0.125</v>
      </c>
      <c r="GH27" s="72" t="s">
        <v>291</v>
      </c>
      <c r="GI27" s="72" t="s">
        <v>548</v>
      </c>
    </row>
    <row r="28" spans="29:191" x14ac:dyDescent="0.2">
      <c r="AC28" s="21" t="s">
        <v>214</v>
      </c>
      <c r="AD28" s="25">
        <v>1.649</v>
      </c>
      <c r="AE28" s="26">
        <v>1.633</v>
      </c>
      <c r="AF28" s="26">
        <v>1.6180000000000001</v>
      </c>
      <c r="AG28" s="26">
        <v>1.798</v>
      </c>
      <c r="AH28" s="26">
        <v>1.7829999999999999</v>
      </c>
      <c r="AI28" s="26">
        <v>1.7470000000000001</v>
      </c>
      <c r="AJ28" s="25">
        <v>1.649</v>
      </c>
      <c r="AK28" s="26">
        <v>1.633</v>
      </c>
      <c r="AL28" s="26">
        <v>1.6180000000000001</v>
      </c>
      <c r="AM28" s="25">
        <v>1.649</v>
      </c>
      <c r="AN28" s="26">
        <v>1.633</v>
      </c>
      <c r="AO28" s="26">
        <v>1.6180000000000001</v>
      </c>
      <c r="AP28" s="26">
        <v>1.798</v>
      </c>
      <c r="AQ28" s="26">
        <v>1.7829999999999999</v>
      </c>
      <c r="AR28" s="26">
        <v>1.7470000000000001</v>
      </c>
      <c r="AS28" s="25">
        <v>1.649</v>
      </c>
      <c r="AT28" s="26">
        <v>1.633</v>
      </c>
      <c r="AU28" s="26">
        <v>1.6180000000000001</v>
      </c>
      <c r="BC28" s="18" t="s">
        <v>550</v>
      </c>
      <c r="BD28" s="2"/>
      <c r="BE28" s="37"/>
      <c r="BF28" s="75"/>
      <c r="BG28" s="2"/>
      <c r="BH28" s="2"/>
      <c r="BI28" s="2"/>
      <c r="BJ28" s="2">
        <v>1</v>
      </c>
      <c r="BL28" s="19" t="s">
        <v>331</v>
      </c>
      <c r="BM28" s="20" t="s">
        <v>341</v>
      </c>
      <c r="BN28" s="20" t="s">
        <v>291</v>
      </c>
      <c r="BO28" s="20">
        <v>2.375</v>
      </c>
      <c r="BP28" s="20">
        <v>0.12</v>
      </c>
      <c r="BQ28" s="2">
        <v>-1E-3</v>
      </c>
      <c r="BR28" s="2">
        <v>-1E-3</v>
      </c>
      <c r="BS28" s="2">
        <v>1E-3</v>
      </c>
      <c r="BT28" s="2">
        <v>1E-3</v>
      </c>
      <c r="BU28" s="20">
        <f>SC_Rod_Spec_Table[[#This Row],[Green Min Rod Length]]</f>
        <v>-3.1300000000000001E-2</v>
      </c>
      <c r="BV28" s="20">
        <v>-3.1300000000000001E-2</v>
      </c>
      <c r="BW28" s="20">
        <v>0</v>
      </c>
      <c r="BX28" s="39">
        <f>SC_Rod_Spec_Table[[#This Row],[Green Max Rod Length]]</f>
        <v>0</v>
      </c>
      <c r="FR28" s="11" t="s">
        <v>322</v>
      </c>
      <c r="FS28" s="1">
        <v>0</v>
      </c>
      <c r="FT28" s="1">
        <v>0</v>
      </c>
      <c r="FU28" s="1">
        <v>0</v>
      </c>
      <c r="FV28" s="1">
        <v>0</v>
      </c>
      <c r="FW28" s="1">
        <v>0</v>
      </c>
      <c r="FX28" s="1">
        <v>0</v>
      </c>
      <c r="FY28" s="1">
        <v>0</v>
      </c>
      <c r="FZ28" s="1">
        <v>0</v>
      </c>
      <c r="GA28" s="1">
        <v>0</v>
      </c>
      <c r="GB28" s="1">
        <v>0.125</v>
      </c>
      <c r="GC28" s="1">
        <v>0.125</v>
      </c>
      <c r="GD28" s="1">
        <v>0</v>
      </c>
      <c r="GE28" s="1">
        <v>0</v>
      </c>
      <c r="GF28" s="1">
        <v>0.125</v>
      </c>
      <c r="GG28" s="54">
        <v>0.125</v>
      </c>
      <c r="GH28" s="72" t="s">
        <v>291</v>
      </c>
      <c r="GI28" s="72" t="s">
        <v>548</v>
      </c>
    </row>
    <row r="29" spans="29:191" x14ac:dyDescent="0.2">
      <c r="AC29" s="21" t="s">
        <v>225</v>
      </c>
      <c r="AD29" s="25">
        <v>1.9490000000000001</v>
      </c>
      <c r="AE29" s="26">
        <v>1.931</v>
      </c>
      <c r="AF29" s="26">
        <v>1.913</v>
      </c>
      <c r="AG29" s="26">
        <v>2.0979999999999999</v>
      </c>
      <c r="AH29" s="26">
        <v>2.08</v>
      </c>
      <c r="AI29" s="26">
        <v>2.0619999999999998</v>
      </c>
      <c r="AJ29" s="25">
        <v>1.9490000000000001</v>
      </c>
      <c r="AK29" s="26">
        <v>1.931</v>
      </c>
      <c r="AL29" s="26">
        <v>1.913</v>
      </c>
      <c r="AM29" s="25">
        <v>1.9490000000000001</v>
      </c>
      <c r="AN29" s="26">
        <v>1.931</v>
      </c>
      <c r="AO29" s="26">
        <v>1.913</v>
      </c>
      <c r="AP29" s="26">
        <v>2.0979999999999999</v>
      </c>
      <c r="AQ29" s="26">
        <v>2.08</v>
      </c>
      <c r="AR29" s="26">
        <v>2.0619999999999998</v>
      </c>
      <c r="AS29" s="25">
        <v>1.9490000000000001</v>
      </c>
      <c r="AT29" s="26">
        <v>1.931</v>
      </c>
      <c r="AU29" s="26">
        <v>1.913</v>
      </c>
      <c r="BC29" s="18" t="s">
        <v>319</v>
      </c>
      <c r="BD29" s="2"/>
      <c r="BE29" s="37"/>
      <c r="BF29" s="75"/>
      <c r="BG29" s="2"/>
      <c r="BH29" s="2"/>
      <c r="BI29" s="2"/>
      <c r="BJ29" s="2">
        <v>1</v>
      </c>
      <c r="BL29" s="19" t="s">
        <v>332</v>
      </c>
      <c r="BM29" s="20" t="s">
        <v>341</v>
      </c>
      <c r="BN29" s="20" t="s">
        <v>291</v>
      </c>
      <c r="BO29" s="20">
        <v>0.375</v>
      </c>
      <c r="BP29" s="20">
        <v>0.12</v>
      </c>
      <c r="BQ29" s="2">
        <v>-1E-3</v>
      </c>
      <c r="BR29" s="2">
        <v>-1E-3</v>
      </c>
      <c r="BS29" s="2">
        <v>1E-3</v>
      </c>
      <c r="BT29" s="2">
        <v>1E-3</v>
      </c>
      <c r="BU29" s="20">
        <f>SC_Rod_Spec_Table[[#This Row],[Green Min Rod Length]]</f>
        <v>-3.1300000000000001E-2</v>
      </c>
      <c r="BV29" s="20">
        <v>-3.1300000000000001E-2</v>
      </c>
      <c r="BW29" s="20">
        <v>0</v>
      </c>
      <c r="BX29" s="39">
        <f>SC_Rod_Spec_Table[[#This Row],[Green Max Rod Length]]</f>
        <v>0</v>
      </c>
    </row>
    <row r="30" spans="29:191" x14ac:dyDescent="0.2">
      <c r="AC30" s="21" t="s">
        <v>602</v>
      </c>
      <c r="AD30" s="25">
        <v>1.58</v>
      </c>
      <c r="AE30" s="26">
        <v>1.56</v>
      </c>
      <c r="AF30" s="26">
        <v>0</v>
      </c>
      <c r="AG30" s="26">
        <v>0</v>
      </c>
      <c r="AH30" s="26">
        <v>0</v>
      </c>
      <c r="AI30" s="26">
        <v>0</v>
      </c>
      <c r="AJ30" s="27">
        <f>Spiral_Length_Table[[#This Row],[C_Long_Leg_15]]</f>
        <v>0</v>
      </c>
      <c r="AK30" s="27">
        <f>Spiral_Length_Table[[#This Row],[C_Long_Leg_16]]</f>
        <v>0</v>
      </c>
      <c r="AL30" s="27">
        <f>Spiral_Length_Table[[#This Row],[C_Long_Leg_17]]</f>
        <v>0</v>
      </c>
      <c r="AM30" s="28">
        <v>1.58</v>
      </c>
      <c r="AN30" s="28">
        <v>1.56</v>
      </c>
      <c r="AO30" s="28">
        <v>0</v>
      </c>
      <c r="AP30" s="28">
        <v>0</v>
      </c>
      <c r="AQ30" s="28">
        <v>0</v>
      </c>
      <c r="AR30" s="28">
        <v>0</v>
      </c>
      <c r="AS30" s="26">
        <v>0</v>
      </c>
      <c r="AT30" s="26">
        <v>0</v>
      </c>
      <c r="AU30" s="26">
        <v>0</v>
      </c>
      <c r="BC30" s="18" t="s">
        <v>320</v>
      </c>
      <c r="BD30" s="2"/>
      <c r="BE30" s="37"/>
      <c r="BF30" s="75"/>
      <c r="BG30" s="2"/>
      <c r="BH30" s="2"/>
      <c r="BI30" s="2"/>
      <c r="BJ30" s="2">
        <v>1</v>
      </c>
      <c r="BL30" s="19" t="s">
        <v>333</v>
      </c>
      <c r="BM30" s="20" t="s">
        <v>341</v>
      </c>
      <c r="BN30" s="20" t="s">
        <v>291</v>
      </c>
      <c r="BO30" s="20">
        <v>2.375</v>
      </c>
      <c r="BP30" s="20">
        <v>0.12</v>
      </c>
      <c r="BQ30" s="2">
        <v>-1E-3</v>
      </c>
      <c r="BR30" s="2">
        <v>-1E-3</v>
      </c>
      <c r="BS30" s="2">
        <v>1E-3</v>
      </c>
      <c r="BT30" s="2">
        <v>1E-3</v>
      </c>
      <c r="BU30" s="20">
        <f>SC_Rod_Spec_Table[[#This Row],[Green Min Rod Length]]</f>
        <v>-3.1300000000000001E-2</v>
      </c>
      <c r="BV30" s="20">
        <v>-3.1300000000000001E-2</v>
      </c>
      <c r="BW30" s="20">
        <v>0</v>
      </c>
      <c r="BX30" s="39">
        <f>SC_Rod_Spec_Table[[#This Row],[Green Max Rod Length]]</f>
        <v>0</v>
      </c>
    </row>
    <row r="31" spans="29:191" x14ac:dyDescent="0.2">
      <c r="AC31" s="21" t="s">
        <v>606</v>
      </c>
      <c r="AD31" s="25">
        <v>1.58</v>
      </c>
      <c r="AE31" s="26">
        <v>1.56</v>
      </c>
      <c r="AF31" s="26">
        <v>0</v>
      </c>
      <c r="AG31" s="26">
        <v>0</v>
      </c>
      <c r="AH31" s="26">
        <v>0</v>
      </c>
      <c r="AI31" s="26">
        <v>0</v>
      </c>
      <c r="AJ31" s="27">
        <f>Spiral_Length_Table[[#This Row],[C_Long_Leg_15]]</f>
        <v>0</v>
      </c>
      <c r="AK31" s="27">
        <f>Spiral_Length_Table[[#This Row],[C_Long_Leg_16]]</f>
        <v>0</v>
      </c>
      <c r="AL31" s="27">
        <f>Spiral_Length_Table[[#This Row],[C_Long_Leg_17]]</f>
        <v>0</v>
      </c>
      <c r="AM31" s="28">
        <v>1.58</v>
      </c>
      <c r="AN31" s="28">
        <v>1.56</v>
      </c>
      <c r="AO31" s="28">
        <v>0</v>
      </c>
      <c r="AP31" s="28">
        <v>0</v>
      </c>
      <c r="AQ31" s="28">
        <v>0</v>
      </c>
      <c r="AR31" s="28">
        <v>0</v>
      </c>
      <c r="AS31" s="26">
        <v>0</v>
      </c>
      <c r="AT31" s="26">
        <v>0</v>
      </c>
      <c r="AU31" s="26">
        <v>0</v>
      </c>
      <c r="BC31" s="18" t="s">
        <v>528</v>
      </c>
      <c r="BD31" s="2"/>
      <c r="BE31" s="37"/>
      <c r="BF31" s="75"/>
      <c r="BG31" s="2"/>
      <c r="BH31" s="2"/>
      <c r="BI31" s="2"/>
      <c r="BJ31" s="2">
        <v>1</v>
      </c>
      <c r="BL31" s="19" t="s">
        <v>334</v>
      </c>
      <c r="BM31" s="20" t="s">
        <v>341</v>
      </c>
      <c r="BN31" s="20" t="s">
        <v>291</v>
      </c>
      <c r="BO31" s="20">
        <v>0.375</v>
      </c>
      <c r="BP31" s="20">
        <v>0.12</v>
      </c>
      <c r="BQ31" s="2">
        <v>-1E-3</v>
      </c>
      <c r="BR31" s="2">
        <v>-1E-3</v>
      </c>
      <c r="BS31" s="2">
        <v>1E-3</v>
      </c>
      <c r="BT31" s="2">
        <v>1E-3</v>
      </c>
      <c r="BU31" s="20">
        <f>SC_Rod_Spec_Table[[#This Row],[Green Min Rod Length]]</f>
        <v>-3.1300000000000001E-2</v>
      </c>
      <c r="BV31" s="20">
        <v>-3.1300000000000001E-2</v>
      </c>
      <c r="BW31" s="20">
        <v>0</v>
      </c>
      <c r="BX31" s="39">
        <f>SC_Rod_Spec_Table[[#This Row],[Green Max Rod Length]]</f>
        <v>0</v>
      </c>
    </row>
    <row r="32" spans="29:191" x14ac:dyDescent="0.2">
      <c r="AC32" s="21" t="s">
        <v>205</v>
      </c>
      <c r="AD32" s="25">
        <v>0</v>
      </c>
      <c r="AE32" s="26">
        <v>1.115</v>
      </c>
      <c r="AF32" s="26">
        <v>1.099</v>
      </c>
      <c r="AG32" s="26">
        <v>0</v>
      </c>
      <c r="AH32" s="26">
        <v>1.2629999999999999</v>
      </c>
      <c r="AI32" s="26">
        <v>1.2470000000000001</v>
      </c>
      <c r="AJ32" s="25">
        <v>0</v>
      </c>
      <c r="AK32" s="26">
        <v>1.115</v>
      </c>
      <c r="AL32" s="26">
        <v>1.099</v>
      </c>
      <c r="AM32" s="25">
        <v>0</v>
      </c>
      <c r="AN32" s="26">
        <v>1.115</v>
      </c>
      <c r="AO32" s="26">
        <v>1.099</v>
      </c>
      <c r="AP32" s="26">
        <v>0</v>
      </c>
      <c r="AQ32" s="26">
        <v>1.2629999999999999</v>
      </c>
      <c r="AR32" s="26">
        <v>1.2470000000000001</v>
      </c>
      <c r="AS32" s="25">
        <v>0</v>
      </c>
      <c r="AT32" s="26">
        <v>1.115</v>
      </c>
      <c r="AU32" s="26">
        <v>1.099</v>
      </c>
      <c r="BC32" s="18" t="s">
        <v>529</v>
      </c>
      <c r="BD32" s="2"/>
      <c r="BE32" s="37"/>
      <c r="BF32" s="75"/>
      <c r="BG32" s="2"/>
      <c r="BH32" s="2"/>
      <c r="BI32" s="2"/>
      <c r="BJ32" s="2">
        <v>1</v>
      </c>
      <c r="BL32" s="19" t="s">
        <v>335</v>
      </c>
      <c r="BM32" s="20" t="s">
        <v>341</v>
      </c>
      <c r="BN32" s="20" t="s">
        <v>291</v>
      </c>
      <c r="BO32" s="20">
        <v>0.375</v>
      </c>
      <c r="BP32" s="20">
        <v>0.12</v>
      </c>
      <c r="BQ32" s="2">
        <v>-1E-3</v>
      </c>
      <c r="BR32" s="2">
        <v>-1E-3</v>
      </c>
      <c r="BS32" s="2">
        <v>1E-3</v>
      </c>
      <c r="BT32" s="2">
        <v>1E-3</v>
      </c>
      <c r="BU32" s="20">
        <f>SC_Rod_Spec_Table[[#This Row],[Green Min Rod Length]]</f>
        <v>-3.1300000000000001E-2</v>
      </c>
      <c r="BV32" s="20">
        <v>-3.1300000000000001E-2</v>
      </c>
      <c r="BW32" s="20">
        <v>0</v>
      </c>
      <c r="BX32" s="39">
        <f>SC_Rod_Spec_Table[[#This Row],[Green Max Rod Length]]</f>
        <v>0</v>
      </c>
    </row>
    <row r="33" spans="29:76" x14ac:dyDescent="0.2">
      <c r="AC33" s="18" t="s">
        <v>138</v>
      </c>
      <c r="AD33" s="25">
        <v>0</v>
      </c>
      <c r="AE33" s="26">
        <v>1.464</v>
      </c>
      <c r="AF33" s="26">
        <v>1.448</v>
      </c>
      <c r="AG33" s="26">
        <v>0</v>
      </c>
      <c r="AH33" s="26">
        <v>1.6120000000000001</v>
      </c>
      <c r="AI33" s="26">
        <v>1.5960000000000001</v>
      </c>
      <c r="AJ33" s="25">
        <v>0</v>
      </c>
      <c r="AK33" s="26">
        <v>1.464</v>
      </c>
      <c r="AL33" s="26">
        <v>1.448</v>
      </c>
      <c r="AM33" s="25">
        <v>0</v>
      </c>
      <c r="AN33" s="26">
        <v>1.464</v>
      </c>
      <c r="AO33" s="26">
        <v>1.448</v>
      </c>
      <c r="AP33" s="26">
        <v>0</v>
      </c>
      <c r="AQ33" s="26">
        <v>1.6120000000000001</v>
      </c>
      <c r="AR33" s="26">
        <v>1.5960000000000001</v>
      </c>
      <c r="AS33" s="25">
        <v>0</v>
      </c>
      <c r="AT33" s="26">
        <v>1.464</v>
      </c>
      <c r="AU33" s="26">
        <v>1.448</v>
      </c>
      <c r="BC33" s="18" t="s">
        <v>182</v>
      </c>
      <c r="BD33" s="2" t="s">
        <v>181</v>
      </c>
      <c r="BE33" s="37"/>
      <c r="BF33" s="2" t="s">
        <v>290</v>
      </c>
      <c r="BG33" s="2" t="s">
        <v>291</v>
      </c>
      <c r="BH33" s="2">
        <v>-2.75</v>
      </c>
      <c r="BI33" s="38"/>
      <c r="BJ33" s="38">
        <v>1</v>
      </c>
      <c r="BL33" s="19" t="s">
        <v>336</v>
      </c>
      <c r="BM33" s="20" t="s">
        <v>341</v>
      </c>
      <c r="BN33" s="20" t="s">
        <v>291</v>
      </c>
      <c r="BO33" s="20">
        <v>0.375</v>
      </c>
      <c r="BP33" s="20">
        <v>0.12</v>
      </c>
      <c r="BQ33" s="2">
        <v>-1E-3</v>
      </c>
      <c r="BR33" s="2">
        <v>-1E-3</v>
      </c>
      <c r="BS33" s="2">
        <v>1E-3</v>
      </c>
      <c r="BT33" s="2">
        <v>1E-3</v>
      </c>
      <c r="BU33" s="20">
        <f>SC_Rod_Spec_Table[[#This Row],[Green Min Rod Length]]</f>
        <v>-3.1300000000000001E-2</v>
      </c>
      <c r="BV33" s="20">
        <v>-3.1300000000000001E-2</v>
      </c>
      <c r="BW33" s="20">
        <v>0</v>
      </c>
      <c r="BX33" s="39">
        <f>SC_Rod_Spec_Table[[#This Row],[Green Max Rod Length]]</f>
        <v>0</v>
      </c>
    </row>
    <row r="34" spans="29:76" x14ac:dyDescent="0.2">
      <c r="AC34" s="18" t="s">
        <v>248</v>
      </c>
      <c r="AD34" s="25">
        <v>0</v>
      </c>
      <c r="AE34" s="26">
        <v>1.464</v>
      </c>
      <c r="AF34" s="26">
        <v>1.448</v>
      </c>
      <c r="AG34" s="26">
        <v>0</v>
      </c>
      <c r="AH34" s="26">
        <v>1.6120000000000001</v>
      </c>
      <c r="AI34" s="26">
        <v>1.5960000000000001</v>
      </c>
      <c r="AJ34" s="25">
        <v>0</v>
      </c>
      <c r="AK34" s="26">
        <v>1.464</v>
      </c>
      <c r="AL34" s="26">
        <v>1.448</v>
      </c>
      <c r="AM34" s="28">
        <v>0</v>
      </c>
      <c r="AN34" s="28">
        <v>2.1309999999999998</v>
      </c>
      <c r="AO34" s="28">
        <v>2.1150000000000002</v>
      </c>
      <c r="AP34" s="28">
        <v>0</v>
      </c>
      <c r="AQ34" s="28">
        <v>2.2789999999999999</v>
      </c>
      <c r="AR34" s="28">
        <v>2.2629999999999999</v>
      </c>
      <c r="AS34" s="28">
        <v>0</v>
      </c>
      <c r="AT34" s="28">
        <v>2.1309999999999998</v>
      </c>
      <c r="AU34" s="28">
        <v>2.1150000000000002</v>
      </c>
      <c r="BC34" s="18" t="s">
        <v>0</v>
      </c>
      <c r="BD34" s="2" t="s">
        <v>130</v>
      </c>
      <c r="BE34" s="37"/>
      <c r="BF34" s="2" t="s">
        <v>290</v>
      </c>
      <c r="BG34" s="2" t="s">
        <v>291</v>
      </c>
      <c r="BH34" s="2">
        <v>-2.4940000000000002</v>
      </c>
      <c r="BI34" s="2"/>
      <c r="BJ34" s="2">
        <v>1</v>
      </c>
      <c r="BL34" s="19" t="s">
        <v>337</v>
      </c>
      <c r="BM34" s="20" t="s">
        <v>340</v>
      </c>
      <c r="BN34" s="20" t="s">
        <v>291</v>
      </c>
      <c r="BO34" s="20">
        <v>0.375</v>
      </c>
      <c r="BP34" s="20">
        <v>0.192</v>
      </c>
      <c r="BQ34" s="2">
        <v>-1E-3</v>
      </c>
      <c r="BR34" s="2">
        <v>-1E-3</v>
      </c>
      <c r="BS34" s="2">
        <v>1E-3</v>
      </c>
      <c r="BT34" s="2">
        <v>1E-3</v>
      </c>
      <c r="BU34" s="20">
        <f>SC_Rod_Spec_Table[[#This Row],[Green Min Rod Length]]</f>
        <v>-3.1300000000000001E-2</v>
      </c>
      <c r="BV34" s="20">
        <v>-3.1300000000000001E-2</v>
      </c>
      <c r="BW34" s="20">
        <v>0</v>
      </c>
      <c r="BX34" s="39">
        <f>SC_Rod_Spec_Table[[#This Row],[Green Max Rod Length]]</f>
        <v>0</v>
      </c>
    </row>
    <row r="35" spans="29:76" x14ac:dyDescent="0.2">
      <c r="AC35" s="18" t="s">
        <v>241</v>
      </c>
      <c r="AD35" s="25">
        <v>0</v>
      </c>
      <c r="AE35" s="26">
        <v>1.464</v>
      </c>
      <c r="AF35" s="26">
        <v>1.448</v>
      </c>
      <c r="AG35" s="26">
        <v>0</v>
      </c>
      <c r="AH35" s="26">
        <v>1.6120000000000001</v>
      </c>
      <c r="AI35" s="26">
        <v>1.5960000000000001</v>
      </c>
      <c r="AJ35" s="25">
        <v>0</v>
      </c>
      <c r="AK35" s="26">
        <v>1.464</v>
      </c>
      <c r="AL35" s="26">
        <v>1.448</v>
      </c>
      <c r="AM35" s="28">
        <v>0</v>
      </c>
      <c r="AN35" s="28">
        <v>1.927</v>
      </c>
      <c r="AO35" s="28">
        <v>1.911</v>
      </c>
      <c r="AP35" s="28">
        <v>0</v>
      </c>
      <c r="AQ35" s="28">
        <v>2.0750000000000002</v>
      </c>
      <c r="AR35" s="28">
        <v>2.0590000000000002</v>
      </c>
      <c r="AS35" s="28">
        <v>0</v>
      </c>
      <c r="AT35" s="28">
        <v>1.927</v>
      </c>
      <c r="AU35" s="28">
        <v>1.911</v>
      </c>
      <c r="BC35" s="18" t="s">
        <v>196</v>
      </c>
      <c r="BD35" s="2" t="s">
        <v>181</v>
      </c>
      <c r="BE35" s="37"/>
      <c r="BF35" s="2" t="s">
        <v>290</v>
      </c>
      <c r="BG35" s="2" t="s">
        <v>291</v>
      </c>
      <c r="BH35" s="2">
        <v>-2.2000000000000002</v>
      </c>
      <c r="BI35" s="2"/>
      <c r="BJ35" s="2">
        <v>1</v>
      </c>
      <c r="BL35" s="18" t="s">
        <v>624</v>
      </c>
      <c r="BM35" s="20" t="s">
        <v>340</v>
      </c>
      <c r="BN35" s="20" t="s">
        <v>291</v>
      </c>
      <c r="BO35" s="2">
        <v>2</v>
      </c>
      <c r="BP35" s="2">
        <v>0.192</v>
      </c>
      <c r="BQ35" s="2">
        <v>-1E-3</v>
      </c>
      <c r="BR35" s="2">
        <v>-1E-3</v>
      </c>
      <c r="BS35" s="2">
        <v>1E-3</v>
      </c>
      <c r="BT35" s="2">
        <v>1E-3</v>
      </c>
      <c r="BU35" s="20">
        <f>SC_Rod_Spec_Table[[#This Row],[Green Min Rod Length]]</f>
        <v>-3.1300000000000001E-2</v>
      </c>
      <c r="BV35" s="20">
        <v>-3.1300000000000001E-2</v>
      </c>
      <c r="BW35" s="20">
        <v>0</v>
      </c>
      <c r="BX35" s="39">
        <f>SC_Rod_Spec_Table[[#This Row],[Green Max Rod Length]]</f>
        <v>0</v>
      </c>
    </row>
    <row r="36" spans="29:76" x14ac:dyDescent="0.2">
      <c r="AC36" s="18" t="s">
        <v>215</v>
      </c>
      <c r="AD36" s="25">
        <v>1.645</v>
      </c>
      <c r="AE36" s="26">
        <v>1.63</v>
      </c>
      <c r="AF36" s="26">
        <v>1.615</v>
      </c>
      <c r="AG36" s="26">
        <v>1.794</v>
      </c>
      <c r="AH36" s="26">
        <v>1.7789999999999999</v>
      </c>
      <c r="AI36" s="26">
        <v>1.7430000000000001</v>
      </c>
      <c r="AJ36" s="25">
        <v>1.645</v>
      </c>
      <c r="AK36" s="26">
        <v>1.63</v>
      </c>
      <c r="AL36" s="26">
        <v>1.615</v>
      </c>
      <c r="AM36" s="25">
        <v>1.645</v>
      </c>
      <c r="AN36" s="26">
        <v>1.63</v>
      </c>
      <c r="AO36" s="26">
        <v>1.615</v>
      </c>
      <c r="AP36" s="26">
        <v>1.794</v>
      </c>
      <c r="AQ36" s="26">
        <v>1.7789999999999999</v>
      </c>
      <c r="AR36" s="26">
        <v>1.7430000000000001</v>
      </c>
      <c r="AS36" s="25">
        <v>1.645</v>
      </c>
      <c r="AT36" s="26">
        <v>1.63</v>
      </c>
      <c r="AU36" s="26">
        <v>1.615</v>
      </c>
      <c r="BC36" s="18" t="s">
        <v>193</v>
      </c>
      <c r="BD36" s="2" t="s">
        <v>130</v>
      </c>
      <c r="BE36" s="37"/>
      <c r="BF36" s="2" t="s">
        <v>290</v>
      </c>
      <c r="BG36" s="2" t="s">
        <v>291</v>
      </c>
      <c r="BH36" s="2">
        <v>-2.75</v>
      </c>
      <c r="BI36" s="2"/>
      <c r="BJ36" s="2">
        <v>1</v>
      </c>
      <c r="BL36" s="19" t="s">
        <v>338</v>
      </c>
      <c r="BM36" s="20" t="s">
        <v>340</v>
      </c>
      <c r="BN36" s="20" t="s">
        <v>291</v>
      </c>
      <c r="BO36" s="20">
        <v>0.375</v>
      </c>
      <c r="BP36" s="20">
        <v>0.192</v>
      </c>
      <c r="BQ36" s="2">
        <v>-1E-3</v>
      </c>
      <c r="BR36" s="2">
        <v>-1E-3</v>
      </c>
      <c r="BS36" s="2">
        <v>1E-3</v>
      </c>
      <c r="BT36" s="2">
        <v>1E-3</v>
      </c>
      <c r="BU36" s="20">
        <f>SC_Rod_Spec_Table[[#This Row],[Green Min Rod Length]]</f>
        <v>-3.1300000000000001E-2</v>
      </c>
      <c r="BV36" s="20">
        <v>-3.1300000000000001E-2</v>
      </c>
      <c r="BW36" s="20">
        <v>0</v>
      </c>
      <c r="BX36" s="39">
        <f>SC_Rod_Spec_Table[[#This Row],[Green Max Rod Length]]</f>
        <v>0</v>
      </c>
    </row>
    <row r="37" spans="29:76" x14ac:dyDescent="0.2">
      <c r="AC37" s="18" t="s">
        <v>226</v>
      </c>
      <c r="AD37" s="25">
        <v>1.946</v>
      </c>
      <c r="AE37" s="26">
        <v>1.9279999999999999</v>
      </c>
      <c r="AF37" s="26">
        <v>1.91</v>
      </c>
      <c r="AG37" s="26">
        <v>2.0950000000000002</v>
      </c>
      <c r="AH37" s="26">
        <v>2.077</v>
      </c>
      <c r="AI37" s="26">
        <v>2.0590000000000002</v>
      </c>
      <c r="AJ37" s="25">
        <v>1.946</v>
      </c>
      <c r="AK37" s="26">
        <v>1.9279999999999999</v>
      </c>
      <c r="AL37" s="26">
        <v>1.91</v>
      </c>
      <c r="AM37" s="25">
        <v>1.946</v>
      </c>
      <c r="AN37" s="26">
        <v>1.9279999999999999</v>
      </c>
      <c r="AO37" s="26">
        <v>1.91</v>
      </c>
      <c r="AP37" s="26">
        <v>2.0950000000000002</v>
      </c>
      <c r="AQ37" s="26">
        <v>2.077</v>
      </c>
      <c r="AR37" s="26">
        <v>2.0590000000000002</v>
      </c>
      <c r="AS37" s="25">
        <v>1.946</v>
      </c>
      <c r="AT37" s="26">
        <v>1.9279999999999999</v>
      </c>
      <c r="AU37" s="26">
        <v>1.91</v>
      </c>
      <c r="BC37" s="18" t="s">
        <v>191</v>
      </c>
      <c r="BD37" s="2" t="s">
        <v>192</v>
      </c>
      <c r="BE37" s="37"/>
      <c r="BF37" s="2" t="s">
        <v>288</v>
      </c>
      <c r="BG37" s="2" t="s">
        <v>291</v>
      </c>
      <c r="BH37" s="2">
        <v>-3.13</v>
      </c>
      <c r="BI37" s="2"/>
      <c r="BJ37" s="2">
        <v>1</v>
      </c>
      <c r="BL37" s="18" t="s">
        <v>625</v>
      </c>
      <c r="BM37" s="20" t="s">
        <v>340</v>
      </c>
      <c r="BN37" s="20" t="s">
        <v>291</v>
      </c>
      <c r="BO37" s="2">
        <v>2</v>
      </c>
      <c r="BP37" s="2">
        <v>0.192</v>
      </c>
      <c r="BQ37" s="2">
        <v>-1E-3</v>
      </c>
      <c r="BR37" s="2">
        <v>-1E-3</v>
      </c>
      <c r="BS37" s="2">
        <v>1E-3</v>
      </c>
      <c r="BT37" s="2">
        <v>1E-3</v>
      </c>
      <c r="BU37" s="20">
        <f>SC_Rod_Spec_Table[[#This Row],[Green Min Rod Length]]</f>
        <v>-3.1300000000000001E-2</v>
      </c>
      <c r="BV37" s="20">
        <v>-3.1300000000000001E-2</v>
      </c>
      <c r="BW37" s="20">
        <v>0</v>
      </c>
      <c r="BX37" s="39">
        <f>SC_Rod_Spec_Table[[#This Row],[Green Max Rod Length]]</f>
        <v>0</v>
      </c>
    </row>
    <row r="38" spans="29:76" x14ac:dyDescent="0.2">
      <c r="AC38" s="18" t="s">
        <v>206</v>
      </c>
      <c r="AD38" s="25">
        <v>0</v>
      </c>
      <c r="AE38" s="26">
        <v>1.111</v>
      </c>
      <c r="AF38" s="26">
        <v>1.095</v>
      </c>
      <c r="AG38" s="26">
        <v>0</v>
      </c>
      <c r="AH38" s="26">
        <v>1.2589999999999999</v>
      </c>
      <c r="AI38" s="26">
        <v>1.2430000000000001</v>
      </c>
      <c r="AJ38" s="25">
        <v>0</v>
      </c>
      <c r="AK38" s="26">
        <v>1.111</v>
      </c>
      <c r="AL38" s="26">
        <v>1.095</v>
      </c>
      <c r="AM38" s="25">
        <v>0</v>
      </c>
      <c r="AN38" s="26">
        <v>1.111</v>
      </c>
      <c r="AO38" s="26">
        <v>1.095</v>
      </c>
      <c r="AP38" s="26">
        <v>0</v>
      </c>
      <c r="AQ38" s="26">
        <v>1.2589999999999999</v>
      </c>
      <c r="AR38" s="26">
        <v>1.2430000000000001</v>
      </c>
      <c r="AS38" s="25">
        <v>0</v>
      </c>
      <c r="AT38" s="26">
        <v>1.111</v>
      </c>
      <c r="AU38" s="26">
        <v>1.095</v>
      </c>
      <c r="BC38" s="18" t="s">
        <v>194</v>
      </c>
      <c r="BD38" s="2" t="s">
        <v>195</v>
      </c>
      <c r="BE38" s="37"/>
      <c r="BF38" s="2" t="s">
        <v>289</v>
      </c>
      <c r="BG38" s="2" t="s">
        <v>291</v>
      </c>
      <c r="BH38" s="2">
        <v>-3.13</v>
      </c>
      <c r="BI38" s="2"/>
      <c r="BJ38" s="2">
        <v>1</v>
      </c>
      <c r="BL38" s="18" t="s">
        <v>549</v>
      </c>
      <c r="BM38" s="20" t="s">
        <v>340</v>
      </c>
      <c r="BN38" s="20" t="s">
        <v>291</v>
      </c>
      <c r="BO38" s="20">
        <v>0.375</v>
      </c>
      <c r="BP38" s="20">
        <v>0.192</v>
      </c>
      <c r="BQ38" s="2">
        <v>-1E-3</v>
      </c>
      <c r="BR38" s="2">
        <v>-1E-3</v>
      </c>
      <c r="BS38" s="2">
        <v>1E-3</v>
      </c>
      <c r="BT38" s="2">
        <v>1E-3</v>
      </c>
      <c r="BU38" s="20">
        <f>SC_Rod_Spec_Table[[#This Row],[Green Min Rod Length]]</f>
        <v>-3.1300000000000001E-2</v>
      </c>
      <c r="BV38" s="20">
        <v>-3.1300000000000001E-2</v>
      </c>
      <c r="BW38" s="20">
        <v>0</v>
      </c>
      <c r="BX38" s="39">
        <f>SC_Rod_Spec_Table[[#This Row],[Green Max Rod Length]]</f>
        <v>0</v>
      </c>
    </row>
    <row r="39" spans="29:76" x14ac:dyDescent="0.2">
      <c r="AC39" s="18" t="s">
        <v>140</v>
      </c>
      <c r="AD39" s="25">
        <v>0</v>
      </c>
      <c r="AE39" s="26">
        <v>1.462</v>
      </c>
      <c r="AF39" s="26">
        <v>1.446</v>
      </c>
      <c r="AG39" s="26">
        <v>0</v>
      </c>
      <c r="AH39" s="26">
        <v>1.61</v>
      </c>
      <c r="AI39" s="26">
        <v>1.5940000000000001</v>
      </c>
      <c r="AJ39" s="25">
        <v>0</v>
      </c>
      <c r="AK39" s="26">
        <v>1.462</v>
      </c>
      <c r="AL39" s="26">
        <v>1.446</v>
      </c>
      <c r="AM39" s="25">
        <v>0</v>
      </c>
      <c r="AN39" s="26">
        <v>1.462</v>
      </c>
      <c r="AO39" s="26">
        <v>1.446</v>
      </c>
      <c r="AP39" s="26">
        <v>0</v>
      </c>
      <c r="AQ39" s="26">
        <v>1.61</v>
      </c>
      <c r="AR39" s="26">
        <v>1.5940000000000001</v>
      </c>
      <c r="AS39" s="25">
        <v>0</v>
      </c>
      <c r="AT39" s="26">
        <v>1.462</v>
      </c>
      <c r="AU39" s="26">
        <v>1.446</v>
      </c>
      <c r="BC39" s="18" t="s">
        <v>621</v>
      </c>
      <c r="BD39" s="2" t="s">
        <v>181</v>
      </c>
      <c r="BE39" s="37"/>
      <c r="BF39" s="2" t="s">
        <v>290</v>
      </c>
      <c r="BG39" s="2" t="s">
        <v>291</v>
      </c>
      <c r="BH39" s="2">
        <v>-1.952</v>
      </c>
      <c r="BI39" s="2"/>
      <c r="BJ39" s="2">
        <v>1</v>
      </c>
      <c r="BL39" s="19" t="s">
        <v>339</v>
      </c>
      <c r="BM39" s="20" t="s">
        <v>340</v>
      </c>
      <c r="BN39" s="20" t="s">
        <v>291</v>
      </c>
      <c r="BO39" s="20">
        <v>0.375</v>
      </c>
      <c r="BP39" s="20">
        <v>0.192</v>
      </c>
      <c r="BQ39" s="2">
        <v>-1E-3</v>
      </c>
      <c r="BR39" s="2">
        <v>-1E-3</v>
      </c>
      <c r="BS39" s="2">
        <v>1E-3</v>
      </c>
      <c r="BT39" s="2">
        <v>1E-3</v>
      </c>
      <c r="BU39" s="20">
        <f>SC_Rod_Spec_Table[[#This Row],[Green Min Rod Length]]</f>
        <v>-3.1300000000000001E-2</v>
      </c>
      <c r="BV39" s="20">
        <v>-3.1300000000000001E-2</v>
      </c>
      <c r="BW39" s="20">
        <v>0</v>
      </c>
      <c r="BX39" s="39">
        <f>SC_Rod_Spec_Table[[#This Row],[Green Max Rod Length]]</f>
        <v>0</v>
      </c>
    </row>
    <row r="40" spans="29:76" x14ac:dyDescent="0.2">
      <c r="AC40" s="18" t="s">
        <v>249</v>
      </c>
      <c r="AD40" s="25">
        <v>0</v>
      </c>
      <c r="AE40" s="26">
        <v>1.4610000000000001</v>
      </c>
      <c r="AF40" s="26">
        <v>1.4450000000000001</v>
      </c>
      <c r="AG40" s="26">
        <v>0</v>
      </c>
      <c r="AH40" s="26">
        <v>1.609</v>
      </c>
      <c r="AI40" s="26">
        <v>1.593</v>
      </c>
      <c r="AJ40" s="25">
        <v>0</v>
      </c>
      <c r="AK40" s="26">
        <v>1.4610000000000001</v>
      </c>
      <c r="AL40" s="26">
        <v>1.4450000000000001</v>
      </c>
      <c r="AM40" s="28">
        <v>0</v>
      </c>
      <c r="AN40" s="28">
        <v>2.129</v>
      </c>
      <c r="AO40" s="28">
        <v>2.113</v>
      </c>
      <c r="AP40" s="28">
        <v>0</v>
      </c>
      <c r="AQ40" s="28">
        <v>2.2770000000000001</v>
      </c>
      <c r="AR40" s="28">
        <v>2.2610000000000001</v>
      </c>
      <c r="AS40" s="28">
        <v>0</v>
      </c>
      <c r="AT40" s="28">
        <v>2.129</v>
      </c>
      <c r="AU40" s="28">
        <v>2.113</v>
      </c>
      <c r="BC40" s="18" t="s">
        <v>622</v>
      </c>
      <c r="BD40" s="2" t="s">
        <v>130</v>
      </c>
      <c r="BE40" s="37"/>
      <c r="BF40" s="2" t="s">
        <v>290</v>
      </c>
      <c r="BG40" s="2" t="s">
        <v>291</v>
      </c>
      <c r="BH40" s="2">
        <v>-2.625</v>
      </c>
      <c r="BI40" s="2"/>
      <c r="BJ40" s="2">
        <v>1</v>
      </c>
      <c r="BL40" s="18" t="s">
        <v>196</v>
      </c>
      <c r="BM40" s="2" t="s">
        <v>318</v>
      </c>
      <c r="BN40" s="2" t="s">
        <v>291</v>
      </c>
      <c r="BO40" s="2">
        <v>-0.1875</v>
      </c>
      <c r="BP40" s="2">
        <v>0.192</v>
      </c>
      <c r="BQ40" s="2">
        <v>-1E-3</v>
      </c>
      <c r="BR40" s="2">
        <v>-1E-3</v>
      </c>
      <c r="BS40" s="2">
        <v>1E-3</v>
      </c>
      <c r="BT40" s="2">
        <v>1E-3</v>
      </c>
      <c r="BU40" s="2">
        <f>SC_Rod_Spec_Table[[#This Row],[Green Min Rod Length]]</f>
        <v>-1.5599999999999999E-2</v>
      </c>
      <c r="BV40" s="2">
        <v>-1.5599999999999999E-2</v>
      </c>
      <c r="BW40" s="2">
        <v>1.5599999999999999E-2</v>
      </c>
      <c r="BX40" s="37">
        <f>SC_Rod_Spec_Table[[#This Row],[Green Max Rod Length]]</f>
        <v>1.5599999999999999E-2</v>
      </c>
    </row>
    <row r="41" spans="29:76" x14ac:dyDescent="0.2">
      <c r="AC41" s="18" t="s">
        <v>242</v>
      </c>
      <c r="AD41" s="25">
        <v>0</v>
      </c>
      <c r="AE41" s="26">
        <v>1.4610000000000001</v>
      </c>
      <c r="AF41" s="26">
        <v>1.4450000000000001</v>
      </c>
      <c r="AG41" s="26">
        <v>0</v>
      </c>
      <c r="AH41" s="26">
        <v>1.609</v>
      </c>
      <c r="AI41" s="26">
        <v>1.593</v>
      </c>
      <c r="AJ41" s="25">
        <v>0</v>
      </c>
      <c r="AK41" s="26">
        <v>1.4610000000000001</v>
      </c>
      <c r="AL41" s="26">
        <v>1.4450000000000001</v>
      </c>
      <c r="AM41" s="28">
        <v>0</v>
      </c>
      <c r="AN41" s="28">
        <v>1.925</v>
      </c>
      <c r="AO41" s="28">
        <v>1.909</v>
      </c>
      <c r="AP41" s="28">
        <v>0</v>
      </c>
      <c r="AQ41" s="28">
        <v>2.073</v>
      </c>
      <c r="AR41" s="28">
        <v>2.0569999999999999</v>
      </c>
      <c r="AS41" s="28">
        <v>0</v>
      </c>
      <c r="AT41" s="28">
        <v>1.925</v>
      </c>
      <c r="AU41" s="28">
        <v>1.909</v>
      </c>
      <c r="BC41" s="18" t="s">
        <v>623</v>
      </c>
      <c r="BD41" s="2" t="s">
        <v>195</v>
      </c>
      <c r="BE41" s="37"/>
      <c r="BF41" s="2" t="s">
        <v>289</v>
      </c>
      <c r="BG41" s="2" t="s">
        <v>291</v>
      </c>
      <c r="BH41" s="2">
        <v>-2.9</v>
      </c>
      <c r="BI41" s="2"/>
      <c r="BJ41" s="2">
        <v>1</v>
      </c>
      <c r="BL41" s="18" t="s">
        <v>193</v>
      </c>
      <c r="BM41" s="2" t="s">
        <v>318</v>
      </c>
      <c r="BN41" s="2" t="s">
        <v>291</v>
      </c>
      <c r="BO41" s="2">
        <v>-6.25E-2</v>
      </c>
      <c r="BP41" s="2">
        <v>0.192</v>
      </c>
      <c r="BQ41" s="2">
        <v>-1E-3</v>
      </c>
      <c r="BR41" s="2">
        <v>-1E-3</v>
      </c>
      <c r="BS41" s="2">
        <v>1E-3</v>
      </c>
      <c r="BT41" s="2">
        <v>1E-3</v>
      </c>
      <c r="BU41" s="2">
        <f>SC_Rod_Spec_Table[[#This Row],[Green Min Rod Length]]</f>
        <v>-1.5599999999999999E-2</v>
      </c>
      <c r="BV41" s="2">
        <v>-1.5599999999999999E-2</v>
      </c>
      <c r="BW41" s="2">
        <v>1.5599999999999999E-2</v>
      </c>
      <c r="BX41" s="37">
        <f>SC_Rod_Spec_Table[[#This Row],[Green Max Rod Length]]</f>
        <v>1.5599999999999999E-2</v>
      </c>
    </row>
    <row r="42" spans="29:76" x14ac:dyDescent="0.2">
      <c r="AC42" s="18" t="s">
        <v>216</v>
      </c>
      <c r="AD42" s="25">
        <v>1.643</v>
      </c>
      <c r="AE42" s="26">
        <v>1.627</v>
      </c>
      <c r="AF42" s="26">
        <v>1.6120000000000001</v>
      </c>
      <c r="AG42" s="26">
        <v>1.792</v>
      </c>
      <c r="AH42" s="26">
        <v>1.7769999999999999</v>
      </c>
      <c r="AI42" s="26">
        <v>1.7410000000000001</v>
      </c>
      <c r="AJ42" s="25">
        <v>1.643</v>
      </c>
      <c r="AK42" s="26">
        <v>1.627</v>
      </c>
      <c r="AL42" s="26">
        <v>1.6120000000000001</v>
      </c>
      <c r="AM42" s="25">
        <v>1.643</v>
      </c>
      <c r="AN42" s="26">
        <v>1.627</v>
      </c>
      <c r="AO42" s="26">
        <v>1.6120000000000001</v>
      </c>
      <c r="AP42" s="26">
        <v>1.792</v>
      </c>
      <c r="AQ42" s="26">
        <v>1.7769999999999999</v>
      </c>
      <c r="AR42" s="26">
        <v>1.7410000000000001</v>
      </c>
      <c r="AS42" s="25">
        <v>1.643</v>
      </c>
      <c r="AT42" s="26">
        <v>1.627</v>
      </c>
      <c r="AU42" s="26">
        <v>1.6120000000000001</v>
      </c>
      <c r="BC42" s="18" t="s">
        <v>401</v>
      </c>
      <c r="BD42" s="2"/>
      <c r="BE42" s="37"/>
      <c r="BF42" s="75"/>
      <c r="BG42" s="2"/>
      <c r="BH42" s="2"/>
      <c r="BI42" s="2"/>
      <c r="BJ42" s="2">
        <v>1</v>
      </c>
      <c r="BL42" s="19" t="s">
        <v>191</v>
      </c>
      <c r="BM42" s="20" t="s">
        <v>342</v>
      </c>
      <c r="BN42" s="20" t="s">
        <v>291</v>
      </c>
      <c r="BO42" s="20">
        <v>-0.15625</v>
      </c>
      <c r="BP42" s="20">
        <v>0.23599999999999999</v>
      </c>
      <c r="BQ42" s="2">
        <v>-1E-3</v>
      </c>
      <c r="BR42" s="2">
        <v>-1E-3</v>
      </c>
      <c r="BS42" s="2">
        <v>1E-3</v>
      </c>
      <c r="BT42" s="2">
        <v>1E-3</v>
      </c>
      <c r="BU42" s="20">
        <f>SC_Rod_Spec_Table[[#This Row],[Green Min Rod Length]]</f>
        <v>-3.1300000000000001E-2</v>
      </c>
      <c r="BV42" s="20">
        <v>-3.1300000000000001E-2</v>
      </c>
      <c r="BW42" s="20">
        <v>0</v>
      </c>
      <c r="BX42" s="39">
        <f>SC_Rod_Spec_Table[[#This Row],[Green Max Rod Length]]</f>
        <v>0</v>
      </c>
    </row>
    <row r="43" spans="29:76" x14ac:dyDescent="0.2">
      <c r="AC43" s="18" t="s">
        <v>227</v>
      </c>
      <c r="AD43" s="25">
        <v>1.944</v>
      </c>
      <c r="AE43" s="26">
        <v>1.9259999999999999</v>
      </c>
      <c r="AF43" s="26">
        <v>1.9079999999999999</v>
      </c>
      <c r="AG43" s="26">
        <v>2.093</v>
      </c>
      <c r="AH43" s="26">
        <v>2.0750000000000002</v>
      </c>
      <c r="AI43" s="26">
        <v>2.0569999999999999</v>
      </c>
      <c r="AJ43" s="25">
        <v>1.944</v>
      </c>
      <c r="AK43" s="26">
        <v>1.9259999999999999</v>
      </c>
      <c r="AL43" s="26">
        <v>1.9079999999999999</v>
      </c>
      <c r="AM43" s="25">
        <v>1.944</v>
      </c>
      <c r="AN43" s="26">
        <v>1.9259999999999999</v>
      </c>
      <c r="AO43" s="26">
        <v>1.9079999999999999</v>
      </c>
      <c r="AP43" s="26">
        <v>2.093</v>
      </c>
      <c r="AQ43" s="26">
        <v>2.0750000000000002</v>
      </c>
      <c r="AR43" s="26">
        <v>2.0569999999999999</v>
      </c>
      <c r="AS43" s="25">
        <v>1.944</v>
      </c>
      <c r="AT43" s="26">
        <v>1.9259999999999999</v>
      </c>
      <c r="AU43" s="26">
        <v>1.9079999999999999</v>
      </c>
      <c r="BC43" s="18" t="s">
        <v>189</v>
      </c>
      <c r="BD43" s="2" t="s">
        <v>130</v>
      </c>
      <c r="BE43" s="37"/>
      <c r="BF43" s="2" t="s">
        <v>290</v>
      </c>
      <c r="BG43" s="2" t="s">
        <v>291</v>
      </c>
      <c r="BH43" s="2">
        <v>-2.6019999999999999</v>
      </c>
      <c r="BI43" s="2"/>
      <c r="BJ43" s="2">
        <v>1</v>
      </c>
      <c r="BL43" s="19" t="s">
        <v>194</v>
      </c>
      <c r="BM43" s="20" t="s">
        <v>342</v>
      </c>
      <c r="BN43" s="20" t="s">
        <v>291</v>
      </c>
      <c r="BO43" s="20">
        <v>-0.15625</v>
      </c>
      <c r="BP43" s="20">
        <v>0.23599999999999999</v>
      </c>
      <c r="BQ43" s="2">
        <v>-1E-3</v>
      </c>
      <c r="BR43" s="2">
        <v>-1E-3</v>
      </c>
      <c r="BS43" s="2">
        <v>1E-3</v>
      </c>
      <c r="BT43" s="2">
        <v>1E-3</v>
      </c>
      <c r="BU43" s="20">
        <f>SC_Rod_Spec_Table[[#This Row],[Green Min Rod Length]]</f>
        <v>-3.1300000000000001E-2</v>
      </c>
      <c r="BV43" s="20">
        <v>-3.1300000000000001E-2</v>
      </c>
      <c r="BW43" s="20">
        <v>0</v>
      </c>
      <c r="BX43" s="39">
        <f>SC_Rod_Spec_Table[[#This Row],[Green Max Rod Length]]</f>
        <v>0</v>
      </c>
    </row>
    <row r="44" spans="29:76" x14ac:dyDescent="0.2">
      <c r="AC44" s="18" t="s">
        <v>207</v>
      </c>
      <c r="AD44" s="25">
        <v>0</v>
      </c>
      <c r="AE44" s="26">
        <v>1.109</v>
      </c>
      <c r="AF44" s="26">
        <v>1.093</v>
      </c>
      <c r="AG44" s="26">
        <v>0</v>
      </c>
      <c r="AH44" s="26">
        <v>1.2569999999999999</v>
      </c>
      <c r="AI44" s="26">
        <v>1.2410000000000001</v>
      </c>
      <c r="AJ44" s="25">
        <v>0</v>
      </c>
      <c r="AK44" s="26">
        <v>1.109</v>
      </c>
      <c r="AL44" s="26">
        <v>1.093</v>
      </c>
      <c r="AM44" s="25">
        <v>0</v>
      </c>
      <c r="AN44" s="26">
        <v>1.109</v>
      </c>
      <c r="AO44" s="26">
        <v>1.093</v>
      </c>
      <c r="AP44" s="26">
        <v>0</v>
      </c>
      <c r="AQ44" s="26">
        <v>1.2569999999999999</v>
      </c>
      <c r="AR44" s="26">
        <v>1.2410000000000001</v>
      </c>
      <c r="AS44" s="25">
        <v>0</v>
      </c>
      <c r="AT44" s="26">
        <v>1.109</v>
      </c>
      <c r="AU44" s="26">
        <v>1.093</v>
      </c>
      <c r="BC44" s="18" t="s">
        <v>197</v>
      </c>
      <c r="BD44" s="2" t="s">
        <v>130</v>
      </c>
      <c r="BE44" s="37"/>
      <c r="BF44" s="2" t="s">
        <v>290</v>
      </c>
      <c r="BG44" s="2" t="s">
        <v>291</v>
      </c>
      <c r="BH44" s="2">
        <v>-2.6</v>
      </c>
      <c r="BI44" s="2"/>
      <c r="BJ44" s="2">
        <v>1</v>
      </c>
      <c r="BL44" s="18" t="s">
        <v>621</v>
      </c>
      <c r="BM44" s="2" t="s">
        <v>318</v>
      </c>
      <c r="BN44" s="20" t="s">
        <v>291</v>
      </c>
      <c r="BO44" s="2">
        <v>3.125E-2</v>
      </c>
      <c r="BP44" s="2">
        <v>0.192</v>
      </c>
      <c r="BQ44" s="2">
        <v>-1E-3</v>
      </c>
      <c r="BR44" s="2">
        <v>-1E-3</v>
      </c>
      <c r="BS44" s="2">
        <v>1E-3</v>
      </c>
      <c r="BT44" s="2">
        <v>1E-3</v>
      </c>
      <c r="BU44" s="2">
        <f>SC_Rod_Spec_Table[[#This Row],[Green Min Rod Length]]</f>
        <v>-1.5599999999999999E-2</v>
      </c>
      <c r="BV44" s="2">
        <v>-1.5599999999999999E-2</v>
      </c>
      <c r="BW44" s="2">
        <v>0</v>
      </c>
      <c r="BX44" s="94">
        <f>SC_Rod_Spec_Table[[#This Row],[Green Max Rod Length]]</f>
        <v>0</v>
      </c>
    </row>
    <row r="45" spans="29:76" x14ac:dyDescent="0.2">
      <c r="AC45" s="18" t="s">
        <v>141</v>
      </c>
      <c r="AD45" s="25">
        <v>0</v>
      </c>
      <c r="AE45" s="26">
        <v>1.46</v>
      </c>
      <c r="AF45" s="26">
        <v>1.444</v>
      </c>
      <c r="AG45" s="26">
        <v>0</v>
      </c>
      <c r="AH45" s="26">
        <v>1.6080000000000001</v>
      </c>
      <c r="AI45" s="26">
        <v>1.5920000000000001</v>
      </c>
      <c r="AJ45" s="25">
        <v>0</v>
      </c>
      <c r="AK45" s="26">
        <v>1.46</v>
      </c>
      <c r="AL45" s="26">
        <v>1.444</v>
      </c>
      <c r="AM45" s="25">
        <v>0</v>
      </c>
      <c r="AN45" s="26">
        <v>1.46</v>
      </c>
      <c r="AO45" s="26">
        <v>1.444</v>
      </c>
      <c r="AP45" s="26">
        <v>0</v>
      </c>
      <c r="AQ45" s="26">
        <v>1.6080000000000001</v>
      </c>
      <c r="AR45" s="26">
        <v>1.5920000000000001</v>
      </c>
      <c r="AS45" s="25">
        <v>0</v>
      </c>
      <c r="AT45" s="26">
        <v>1.46</v>
      </c>
      <c r="AU45" s="26">
        <v>1.444</v>
      </c>
      <c r="BC45" s="18" t="s">
        <v>321</v>
      </c>
      <c r="BD45" s="2"/>
      <c r="BE45" s="37"/>
      <c r="BF45" s="75"/>
      <c r="BG45" s="2"/>
      <c r="BH45" s="2"/>
      <c r="BI45" s="2"/>
      <c r="BJ45" s="2">
        <v>2</v>
      </c>
      <c r="BL45" s="18" t="s">
        <v>622</v>
      </c>
      <c r="BM45" s="2" t="s">
        <v>318</v>
      </c>
      <c r="BN45" s="20" t="s">
        <v>291</v>
      </c>
      <c r="BO45" s="2">
        <v>3.125E-2</v>
      </c>
      <c r="BP45" s="2">
        <v>0.192</v>
      </c>
      <c r="BQ45" s="2">
        <v>-1E-3</v>
      </c>
      <c r="BR45" s="2">
        <v>-1E-3</v>
      </c>
      <c r="BS45" s="2">
        <v>1E-3</v>
      </c>
      <c r="BT45" s="2">
        <v>1E-3</v>
      </c>
      <c r="BU45" s="2">
        <f>SC_Rod_Spec_Table[[#This Row],[Green Min Rod Length]]</f>
        <v>-1.5599999999999999E-2</v>
      </c>
      <c r="BV45" s="2">
        <v>-1.5599999999999999E-2</v>
      </c>
      <c r="BW45" s="2">
        <v>0</v>
      </c>
      <c r="BX45" s="94">
        <f>SC_Rod_Spec_Table[[#This Row],[Green Max Rod Length]]</f>
        <v>0</v>
      </c>
    </row>
    <row r="46" spans="29:76" x14ac:dyDescent="0.2">
      <c r="AC46" s="18" t="s">
        <v>250</v>
      </c>
      <c r="AD46" s="25">
        <v>0</v>
      </c>
      <c r="AE46" s="26">
        <v>1.46</v>
      </c>
      <c r="AF46" s="26">
        <v>1.444</v>
      </c>
      <c r="AG46" s="26">
        <v>0</v>
      </c>
      <c r="AH46" s="26">
        <v>1.6080000000000001</v>
      </c>
      <c r="AI46" s="26">
        <v>1.5920000000000001</v>
      </c>
      <c r="AJ46" s="25">
        <v>0</v>
      </c>
      <c r="AK46" s="26">
        <v>1.46</v>
      </c>
      <c r="AL46" s="26">
        <v>1.444</v>
      </c>
      <c r="AM46" s="28">
        <v>0</v>
      </c>
      <c r="AN46" s="28">
        <v>2.1280000000000001</v>
      </c>
      <c r="AO46" s="28">
        <v>2.1120000000000001</v>
      </c>
      <c r="AP46" s="28">
        <v>0</v>
      </c>
      <c r="AQ46" s="28">
        <v>2.2759999999999998</v>
      </c>
      <c r="AR46" s="28">
        <v>2.2599999999999998</v>
      </c>
      <c r="AS46" s="28">
        <v>0</v>
      </c>
      <c r="AT46" s="28">
        <v>2.1280000000000001</v>
      </c>
      <c r="AU46" s="28">
        <v>2.1120000000000001</v>
      </c>
      <c r="BC46" s="18" t="s">
        <v>322</v>
      </c>
      <c r="BD46" s="2"/>
      <c r="BE46" s="37"/>
      <c r="BF46" s="75"/>
      <c r="BG46" s="2"/>
      <c r="BH46" s="2"/>
      <c r="BI46" s="2"/>
      <c r="BJ46" s="2">
        <v>2</v>
      </c>
      <c r="BL46" s="18" t="s">
        <v>623</v>
      </c>
      <c r="BM46" s="20" t="s">
        <v>342</v>
      </c>
      <c r="BN46" s="20" t="s">
        <v>291</v>
      </c>
      <c r="BO46" s="2">
        <v>3.125E-2</v>
      </c>
      <c r="BP46" s="2">
        <v>0.23599999999999999</v>
      </c>
      <c r="BQ46" s="2">
        <v>-1E-3</v>
      </c>
      <c r="BR46" s="2">
        <v>-1E-3</v>
      </c>
      <c r="BS46" s="2">
        <v>1E-3</v>
      </c>
      <c r="BT46" s="2">
        <v>1E-3</v>
      </c>
      <c r="BU46" s="20">
        <f>SC_Rod_Spec_Table[[#This Row],[Green Min Rod Length]]</f>
        <v>-3.1300000000000001E-2</v>
      </c>
      <c r="BV46" s="20">
        <v>-3.1300000000000001E-2</v>
      </c>
      <c r="BW46" s="2">
        <v>0</v>
      </c>
      <c r="BX46" s="94">
        <f>SC_Rod_Spec_Table[[#This Row],[Green Max Rod Length]]</f>
        <v>0</v>
      </c>
    </row>
    <row r="47" spans="29:76" x14ac:dyDescent="0.2">
      <c r="AC47" s="18" t="s">
        <v>243</v>
      </c>
      <c r="AD47" s="25">
        <v>0</v>
      </c>
      <c r="AE47" s="26">
        <v>1.46</v>
      </c>
      <c r="AF47" s="26">
        <v>1.444</v>
      </c>
      <c r="AG47" s="26">
        <v>0</v>
      </c>
      <c r="AH47" s="26">
        <v>1.6080000000000001</v>
      </c>
      <c r="AI47" s="26">
        <v>1.5920000000000001</v>
      </c>
      <c r="AJ47" s="25">
        <v>0</v>
      </c>
      <c r="AK47" s="26">
        <v>1.46</v>
      </c>
      <c r="AL47" s="26">
        <v>1.444</v>
      </c>
      <c r="AM47" s="28">
        <v>0</v>
      </c>
      <c r="AN47" s="28">
        <v>1.9239999999999999</v>
      </c>
      <c r="AO47" s="28">
        <v>1.9079999999999999</v>
      </c>
      <c r="AP47" s="28">
        <v>0</v>
      </c>
      <c r="AQ47" s="28">
        <v>2.0720000000000001</v>
      </c>
      <c r="AR47" s="28">
        <v>2.056</v>
      </c>
      <c r="AS47" s="28">
        <v>0</v>
      </c>
      <c r="AT47" s="28">
        <v>1.9239999999999999</v>
      </c>
      <c r="AU47" s="28">
        <v>1.9079999999999999</v>
      </c>
      <c r="BC47" s="18" t="s">
        <v>186</v>
      </c>
      <c r="BD47" s="2" t="s">
        <v>181</v>
      </c>
      <c r="BE47" s="37" t="s">
        <v>130</v>
      </c>
      <c r="BF47" s="2" t="s">
        <v>290</v>
      </c>
      <c r="BG47" s="2" t="s">
        <v>291</v>
      </c>
      <c r="BH47" s="2">
        <v>-1.627</v>
      </c>
      <c r="BI47" s="2">
        <v>-1.627</v>
      </c>
      <c r="BJ47" s="2">
        <v>2</v>
      </c>
      <c r="BL47" s="18" t="s">
        <v>197</v>
      </c>
      <c r="BM47" s="2" t="s">
        <v>318</v>
      </c>
      <c r="BN47" s="2" t="s">
        <v>291</v>
      </c>
      <c r="BO47" s="2">
        <v>-6.25E-2</v>
      </c>
      <c r="BP47" s="2">
        <v>0.192</v>
      </c>
      <c r="BQ47" s="2">
        <v>-1E-3</v>
      </c>
      <c r="BR47" s="2">
        <v>-1E-3</v>
      </c>
      <c r="BS47" s="2">
        <v>1E-3</v>
      </c>
      <c r="BT47" s="2">
        <v>1E-3</v>
      </c>
      <c r="BU47" s="2">
        <f>SC_Rod_Spec_Table[[#This Row],[Green Min Rod Length]]</f>
        <v>-1.5599999999999999E-2</v>
      </c>
      <c r="BV47" s="2">
        <v>-1.5599999999999999E-2</v>
      </c>
      <c r="BW47" s="2">
        <v>1.5599999999999999E-2</v>
      </c>
      <c r="BX47" s="37">
        <f>SC_Rod_Spec_Table[[#This Row],[Green Max Rod Length]]</f>
        <v>1.5599999999999999E-2</v>
      </c>
    </row>
    <row r="48" spans="29:76" x14ac:dyDescent="0.2">
      <c r="AC48" s="18" t="s">
        <v>217</v>
      </c>
      <c r="AD48" s="25">
        <v>1.6419999999999999</v>
      </c>
      <c r="AE48" s="26">
        <v>1.6259999999999999</v>
      </c>
      <c r="AF48" s="26">
        <v>1.611</v>
      </c>
      <c r="AG48" s="26">
        <v>1.79</v>
      </c>
      <c r="AH48" s="26">
        <v>1.7749999999999999</v>
      </c>
      <c r="AI48" s="26">
        <v>1.7390000000000001</v>
      </c>
      <c r="AJ48" s="25">
        <v>1.6419999999999999</v>
      </c>
      <c r="AK48" s="26">
        <v>1.6259999999999999</v>
      </c>
      <c r="AL48" s="26">
        <v>1.611</v>
      </c>
      <c r="AM48" s="25">
        <v>1.6419999999999999</v>
      </c>
      <c r="AN48" s="26">
        <v>1.6259999999999999</v>
      </c>
      <c r="AO48" s="26">
        <v>1.611</v>
      </c>
      <c r="AP48" s="26">
        <v>1.79</v>
      </c>
      <c r="AQ48" s="26">
        <v>1.7749999999999999</v>
      </c>
      <c r="AR48" s="26">
        <v>1.7390000000000001</v>
      </c>
      <c r="AS48" s="25">
        <v>1.6419999999999999</v>
      </c>
      <c r="AT48" s="26">
        <v>1.6259999999999999</v>
      </c>
      <c r="AU48" s="26">
        <v>1.611</v>
      </c>
      <c r="BC48" s="18" t="s">
        <v>190</v>
      </c>
      <c r="BD48" s="2" t="s">
        <v>130</v>
      </c>
      <c r="BE48" s="37" t="s">
        <v>188</v>
      </c>
      <c r="BF48" s="2" t="s">
        <v>290</v>
      </c>
      <c r="BG48" s="2" t="s">
        <v>291</v>
      </c>
      <c r="BH48" s="2">
        <v>-1.7849999999999999</v>
      </c>
      <c r="BI48" s="2">
        <v>-1.8049999999999999</v>
      </c>
      <c r="BJ48" s="2">
        <v>2</v>
      </c>
      <c r="BL48" s="18" t="s">
        <v>198</v>
      </c>
      <c r="BM48" s="2" t="s">
        <v>318</v>
      </c>
      <c r="BN48" s="2" t="s">
        <v>291</v>
      </c>
      <c r="BO48" s="2">
        <v>-0.125</v>
      </c>
      <c r="BP48" s="2">
        <v>0.192</v>
      </c>
      <c r="BQ48" s="2">
        <v>-1E-3</v>
      </c>
      <c r="BR48" s="2">
        <v>-1E-3</v>
      </c>
      <c r="BS48" s="2">
        <v>1E-3</v>
      </c>
      <c r="BT48" s="2">
        <v>1E-3</v>
      </c>
      <c r="BU48" s="2">
        <f>SC_Rod_Spec_Table[[#This Row],[Green Min Rod Length]]</f>
        <v>-1.5599999999999999E-2</v>
      </c>
      <c r="BV48" s="2">
        <v>-1.5599999999999999E-2</v>
      </c>
      <c r="BW48" s="2">
        <v>1.5599999999999999E-2</v>
      </c>
      <c r="BX48" s="37">
        <f>SC_Rod_Spec_Table[[#This Row],[Green Max Rod Length]]</f>
        <v>1.5599999999999999E-2</v>
      </c>
    </row>
    <row r="49" spans="29:62" x14ac:dyDescent="0.2">
      <c r="AC49" s="18" t="s">
        <v>228</v>
      </c>
      <c r="AD49" s="25">
        <v>1.9430000000000001</v>
      </c>
      <c r="AE49" s="26">
        <v>1.925</v>
      </c>
      <c r="AF49" s="26">
        <v>1.907</v>
      </c>
      <c r="AG49" s="26">
        <v>2.0920000000000001</v>
      </c>
      <c r="AH49" s="26">
        <v>2.0739999999999998</v>
      </c>
      <c r="AI49" s="26">
        <v>2.056</v>
      </c>
      <c r="AJ49" s="25">
        <v>1.9430000000000001</v>
      </c>
      <c r="AK49" s="26">
        <v>1.925</v>
      </c>
      <c r="AL49" s="26">
        <v>1.907</v>
      </c>
      <c r="AM49" s="25">
        <v>1.9430000000000001</v>
      </c>
      <c r="AN49" s="26">
        <v>1.925</v>
      </c>
      <c r="AO49" s="26">
        <v>1.907</v>
      </c>
      <c r="AP49" s="26">
        <v>2.0920000000000001</v>
      </c>
      <c r="AQ49" s="26">
        <v>2.0739999999999998</v>
      </c>
      <c r="AR49" s="26">
        <v>2.056</v>
      </c>
      <c r="AS49" s="25">
        <v>1.9430000000000001</v>
      </c>
      <c r="AT49" s="26">
        <v>1.925</v>
      </c>
      <c r="AU49" s="26">
        <v>1.907</v>
      </c>
      <c r="BC49" s="18" t="s">
        <v>629</v>
      </c>
      <c r="BD49" s="2" t="s">
        <v>181</v>
      </c>
      <c r="BE49" s="37" t="s">
        <v>130</v>
      </c>
      <c r="BF49" s="2" t="s">
        <v>290</v>
      </c>
      <c r="BG49" s="2" t="s">
        <v>291</v>
      </c>
      <c r="BH49" s="2">
        <v>-1.5149999999999999</v>
      </c>
      <c r="BI49" s="2">
        <v>-1.7729999999999999</v>
      </c>
      <c r="BJ49" s="2">
        <v>2</v>
      </c>
    </row>
    <row r="50" spans="29:62" x14ac:dyDescent="0.2">
      <c r="AC50" s="18" t="s">
        <v>603</v>
      </c>
      <c r="AD50" s="25">
        <v>1.57</v>
      </c>
      <c r="AE50" s="26">
        <v>1.55</v>
      </c>
      <c r="AF50" s="26">
        <v>0</v>
      </c>
      <c r="AG50" s="26">
        <v>0</v>
      </c>
      <c r="AH50" s="26">
        <v>0</v>
      </c>
      <c r="AI50" s="26">
        <v>0</v>
      </c>
      <c r="AJ50" s="27">
        <f>Spiral_Length_Table[[#This Row],[C_Long_Leg_15]]</f>
        <v>0</v>
      </c>
      <c r="AK50" s="27">
        <f>Spiral_Length_Table[[#This Row],[C_Long_Leg_16]]</f>
        <v>0</v>
      </c>
      <c r="AL50" s="27">
        <f>Spiral_Length_Table[[#This Row],[C_Long_Leg_17]]</f>
        <v>0</v>
      </c>
      <c r="AM50" s="28">
        <v>1.57</v>
      </c>
      <c r="AN50" s="28">
        <v>1.55</v>
      </c>
      <c r="AO50" s="28">
        <v>0</v>
      </c>
      <c r="AP50" s="28">
        <v>0</v>
      </c>
      <c r="AQ50" s="28">
        <v>0</v>
      </c>
      <c r="AR50" s="28">
        <v>0</v>
      </c>
      <c r="AS50" s="26">
        <v>0</v>
      </c>
      <c r="AT50" s="26">
        <v>0</v>
      </c>
      <c r="AU50" s="26">
        <v>0</v>
      </c>
      <c r="BC50" s="18" t="s">
        <v>626</v>
      </c>
      <c r="BD50" s="2" t="s">
        <v>130</v>
      </c>
      <c r="BE50" s="37" t="s">
        <v>188</v>
      </c>
      <c r="BF50" s="2" t="s">
        <v>290</v>
      </c>
      <c r="BG50" s="2" t="s">
        <v>291</v>
      </c>
      <c r="BH50" s="2">
        <v>-1.845</v>
      </c>
      <c r="BI50" s="2">
        <v>-1.67</v>
      </c>
      <c r="BJ50" s="2">
        <v>2</v>
      </c>
    </row>
    <row r="51" spans="29:62" x14ac:dyDescent="0.2">
      <c r="AC51" s="18" t="s">
        <v>607</v>
      </c>
      <c r="AD51" s="25">
        <v>1.57</v>
      </c>
      <c r="AE51" s="26">
        <v>1.55</v>
      </c>
      <c r="AF51" s="26">
        <v>0</v>
      </c>
      <c r="AG51" s="26">
        <v>0</v>
      </c>
      <c r="AH51" s="26">
        <v>0</v>
      </c>
      <c r="AI51" s="26">
        <v>0</v>
      </c>
      <c r="AJ51" s="27">
        <f>Spiral_Length_Table[[#This Row],[C_Long_Leg_15]]</f>
        <v>0</v>
      </c>
      <c r="AK51" s="27">
        <f>Spiral_Length_Table[[#This Row],[C_Long_Leg_16]]</f>
        <v>0</v>
      </c>
      <c r="AL51" s="27">
        <f>Spiral_Length_Table[[#This Row],[C_Long_Leg_17]]</f>
        <v>0</v>
      </c>
      <c r="AM51" s="28">
        <v>1.57</v>
      </c>
      <c r="AN51" s="28">
        <v>1.55</v>
      </c>
      <c r="AO51" s="28">
        <v>0</v>
      </c>
      <c r="AP51" s="28">
        <v>0</v>
      </c>
      <c r="AQ51" s="28">
        <v>0</v>
      </c>
      <c r="AR51" s="28">
        <v>0</v>
      </c>
      <c r="AS51" s="26">
        <v>0</v>
      </c>
      <c r="AT51" s="26">
        <v>0</v>
      </c>
      <c r="AU51" s="26">
        <v>0</v>
      </c>
      <c r="BC51" s="18" t="s">
        <v>198</v>
      </c>
      <c r="BD51" s="2" t="s">
        <v>181</v>
      </c>
      <c r="BE51" s="37" t="s">
        <v>130</v>
      </c>
      <c r="BF51" s="2" t="s">
        <v>290</v>
      </c>
      <c r="BG51" s="2" t="s">
        <v>291</v>
      </c>
      <c r="BH51" s="2">
        <v>-1.621</v>
      </c>
      <c r="BI51" s="2">
        <v>-1.873</v>
      </c>
      <c r="BJ51" s="2">
        <v>2</v>
      </c>
    </row>
    <row r="52" spans="29:62" x14ac:dyDescent="0.2">
      <c r="AC52" s="18" t="s">
        <v>208</v>
      </c>
      <c r="AD52" s="25">
        <v>0</v>
      </c>
      <c r="AE52" s="26">
        <v>1.107</v>
      </c>
      <c r="AF52" s="26">
        <v>1.091</v>
      </c>
      <c r="AG52" s="26">
        <v>0</v>
      </c>
      <c r="AH52" s="26">
        <v>1.2549999999999999</v>
      </c>
      <c r="AI52" s="26">
        <v>1.2390000000000001</v>
      </c>
      <c r="AJ52" s="25">
        <v>0</v>
      </c>
      <c r="AK52" s="26">
        <v>1.107</v>
      </c>
      <c r="AL52" s="26">
        <v>1.091</v>
      </c>
      <c r="AM52" s="25">
        <v>0</v>
      </c>
      <c r="AN52" s="26">
        <v>1.107</v>
      </c>
      <c r="AO52" s="26">
        <v>1.091</v>
      </c>
      <c r="AP52" s="26">
        <v>0</v>
      </c>
      <c r="AQ52" s="26">
        <v>1.2549999999999999</v>
      </c>
      <c r="AR52" s="26">
        <v>1.2390000000000001</v>
      </c>
      <c r="AS52" s="25">
        <v>0</v>
      </c>
      <c r="AT52" s="26">
        <v>1.107</v>
      </c>
      <c r="AU52" s="26">
        <v>1.091</v>
      </c>
      <c r="BC52" s="18" t="s">
        <v>183</v>
      </c>
      <c r="BD52" s="2" t="s">
        <v>130</v>
      </c>
      <c r="BE52" s="37"/>
      <c r="BF52" s="2" t="s">
        <v>290</v>
      </c>
      <c r="BG52" s="2" t="s">
        <v>291</v>
      </c>
      <c r="BH52" s="2">
        <v>-3.4260000000000002</v>
      </c>
      <c r="BI52" s="2"/>
      <c r="BJ52" s="2">
        <v>1</v>
      </c>
    </row>
    <row r="53" spans="29:62" x14ac:dyDescent="0.2">
      <c r="AC53" s="18" t="s">
        <v>142</v>
      </c>
      <c r="AD53" s="25">
        <v>0</v>
      </c>
      <c r="AE53" s="26">
        <v>1.4590000000000001</v>
      </c>
      <c r="AF53" s="26">
        <v>1.4430000000000001</v>
      </c>
      <c r="AG53" s="26">
        <v>0</v>
      </c>
      <c r="AH53" s="26">
        <v>1.607</v>
      </c>
      <c r="AI53" s="26">
        <v>1.591</v>
      </c>
      <c r="AJ53" s="25">
        <v>0</v>
      </c>
      <c r="AK53" s="26">
        <v>1.4590000000000001</v>
      </c>
      <c r="AL53" s="26">
        <v>1.4430000000000001</v>
      </c>
      <c r="AM53" s="25">
        <v>0</v>
      </c>
      <c r="AN53" s="26">
        <v>1.4590000000000001</v>
      </c>
      <c r="AO53" s="26">
        <v>1.4430000000000001</v>
      </c>
      <c r="AP53" s="26">
        <v>0</v>
      </c>
      <c r="AQ53" s="26">
        <v>1.607</v>
      </c>
      <c r="AR53" s="26">
        <v>1.591</v>
      </c>
      <c r="AS53" s="25">
        <v>0</v>
      </c>
      <c r="AT53" s="26">
        <v>1.4590000000000001</v>
      </c>
      <c r="AU53" s="26">
        <v>1.4430000000000001</v>
      </c>
      <c r="BC53" s="18" t="s">
        <v>185</v>
      </c>
      <c r="BD53" s="2" t="s">
        <v>184</v>
      </c>
      <c r="BE53" s="37"/>
      <c r="BF53" s="2" t="s">
        <v>290</v>
      </c>
      <c r="BG53" s="2" t="s">
        <v>291</v>
      </c>
      <c r="BH53" s="2">
        <v>-3.6459999999999999</v>
      </c>
      <c r="BI53" s="2"/>
      <c r="BJ53" s="2">
        <v>1</v>
      </c>
    </row>
    <row r="54" spans="29:62" x14ac:dyDescent="0.2">
      <c r="AC54" s="18" t="s">
        <v>251</v>
      </c>
      <c r="AD54" s="25">
        <v>0</v>
      </c>
      <c r="AE54" s="26">
        <v>1.4590000000000001</v>
      </c>
      <c r="AF54" s="26">
        <v>1.4430000000000001</v>
      </c>
      <c r="AG54" s="26">
        <v>0</v>
      </c>
      <c r="AH54" s="26">
        <v>1.607</v>
      </c>
      <c r="AI54" s="26">
        <v>1.591</v>
      </c>
      <c r="AJ54" s="25">
        <v>0</v>
      </c>
      <c r="AK54" s="26">
        <v>1.4590000000000001</v>
      </c>
      <c r="AL54" s="26">
        <v>1.4430000000000001</v>
      </c>
      <c r="AM54" s="28">
        <v>0</v>
      </c>
      <c r="AN54" s="28">
        <v>2.1269999999999998</v>
      </c>
      <c r="AO54" s="28">
        <v>2.1110000000000002</v>
      </c>
      <c r="AP54" s="28">
        <v>0</v>
      </c>
      <c r="AQ54" s="28">
        <v>2.2749999999999999</v>
      </c>
      <c r="AR54" s="28">
        <v>2.2589999999999999</v>
      </c>
      <c r="AS54" s="28">
        <v>0</v>
      </c>
      <c r="AT54" s="28">
        <v>2.1269999999999998</v>
      </c>
      <c r="AU54" s="28">
        <v>2.1110000000000002</v>
      </c>
      <c r="BC54" s="19" t="s">
        <v>187</v>
      </c>
      <c r="BD54" s="20" t="s">
        <v>130</v>
      </c>
      <c r="BE54" s="39" t="s">
        <v>188</v>
      </c>
      <c r="BF54" s="2" t="s">
        <v>290</v>
      </c>
      <c r="BG54" s="2" t="s">
        <v>291</v>
      </c>
      <c r="BH54" s="2">
        <v>-1.883</v>
      </c>
      <c r="BI54" s="20">
        <v>-1.8049999999999999</v>
      </c>
      <c r="BJ54" s="20">
        <v>2</v>
      </c>
    </row>
    <row r="55" spans="29:62" x14ac:dyDescent="0.2">
      <c r="AC55" s="18" t="s">
        <v>244</v>
      </c>
      <c r="AD55" s="25">
        <v>0</v>
      </c>
      <c r="AE55" s="26">
        <v>1.4590000000000001</v>
      </c>
      <c r="AF55" s="26">
        <v>1.4430000000000001</v>
      </c>
      <c r="AG55" s="26">
        <v>0</v>
      </c>
      <c r="AH55" s="26">
        <v>1.607</v>
      </c>
      <c r="AI55" s="26">
        <v>1.591</v>
      </c>
      <c r="AJ55" s="25">
        <v>0</v>
      </c>
      <c r="AK55" s="26">
        <v>1.4590000000000001</v>
      </c>
      <c r="AL55" s="26">
        <v>1.4430000000000001</v>
      </c>
      <c r="AM55" s="28">
        <v>0</v>
      </c>
      <c r="AN55" s="28">
        <v>1.923</v>
      </c>
      <c r="AO55" s="28">
        <v>1.907</v>
      </c>
      <c r="AP55" s="28">
        <v>0</v>
      </c>
      <c r="AQ55" s="28">
        <v>2.0710000000000002</v>
      </c>
      <c r="AR55" s="28">
        <v>2.0550000000000002</v>
      </c>
      <c r="AS55" s="28">
        <v>0</v>
      </c>
      <c r="AT55" s="28">
        <v>1.923</v>
      </c>
      <c r="AU55" s="28">
        <v>1.907</v>
      </c>
    </row>
    <row r="56" spans="29:62" x14ac:dyDescent="0.2">
      <c r="AC56" s="18" t="s">
        <v>218</v>
      </c>
      <c r="AD56" s="25">
        <v>1.641</v>
      </c>
      <c r="AE56" s="26">
        <v>1.625</v>
      </c>
      <c r="AF56" s="26">
        <v>1.61</v>
      </c>
      <c r="AG56" s="26">
        <v>1.7889999999999999</v>
      </c>
      <c r="AH56" s="26">
        <v>1.774</v>
      </c>
      <c r="AI56" s="26">
        <v>1.738</v>
      </c>
      <c r="AJ56" s="25">
        <v>1.641</v>
      </c>
      <c r="AK56" s="26">
        <v>1.625</v>
      </c>
      <c r="AL56" s="26">
        <v>1.61</v>
      </c>
      <c r="AM56" s="25">
        <v>1.641</v>
      </c>
      <c r="AN56" s="26">
        <v>1.625</v>
      </c>
      <c r="AO56" s="26">
        <v>1.61</v>
      </c>
      <c r="AP56" s="26">
        <v>1.7889999999999999</v>
      </c>
      <c r="AQ56" s="26">
        <v>1.774</v>
      </c>
      <c r="AR56" s="26">
        <v>1.738</v>
      </c>
      <c r="AS56" s="25">
        <v>1.641</v>
      </c>
      <c r="AT56" s="26">
        <v>1.625</v>
      </c>
      <c r="AU56" s="26">
        <v>1.61</v>
      </c>
    </row>
    <row r="57" spans="29:62" x14ac:dyDescent="0.2">
      <c r="AC57" s="18" t="s">
        <v>229</v>
      </c>
      <c r="AD57" s="25">
        <v>1.9419999999999999</v>
      </c>
      <c r="AE57" s="26">
        <v>1.9239999999999999</v>
      </c>
      <c r="AF57" s="26">
        <v>1.9059999999999999</v>
      </c>
      <c r="AG57" s="26">
        <v>2.0910000000000002</v>
      </c>
      <c r="AH57" s="26">
        <v>2.073</v>
      </c>
      <c r="AI57" s="26">
        <v>2.0550000000000002</v>
      </c>
      <c r="AJ57" s="25">
        <v>1.9419999999999999</v>
      </c>
      <c r="AK57" s="26">
        <v>1.9239999999999999</v>
      </c>
      <c r="AL57" s="26">
        <v>1.9059999999999999</v>
      </c>
      <c r="AM57" s="25">
        <v>1.9419999999999999</v>
      </c>
      <c r="AN57" s="26">
        <v>1.9239999999999999</v>
      </c>
      <c r="AO57" s="26">
        <v>1.9059999999999999</v>
      </c>
      <c r="AP57" s="26">
        <v>2.0910000000000002</v>
      </c>
      <c r="AQ57" s="26">
        <v>2.073</v>
      </c>
      <c r="AR57" s="26">
        <v>2.0550000000000002</v>
      </c>
      <c r="AS57" s="25">
        <v>1.9419999999999999</v>
      </c>
      <c r="AT57" s="26">
        <v>1.9239999999999999</v>
      </c>
      <c r="AU57" s="26">
        <v>1.9059999999999999</v>
      </c>
    </row>
    <row r="58" spans="29:62" x14ac:dyDescent="0.2">
      <c r="AC58" s="18" t="s">
        <v>209</v>
      </c>
      <c r="AD58" s="25">
        <v>0</v>
      </c>
      <c r="AE58" s="26">
        <v>1.1060000000000001</v>
      </c>
      <c r="AF58" s="26">
        <v>1.0900000000000001</v>
      </c>
      <c r="AG58" s="26">
        <v>0</v>
      </c>
      <c r="AH58" s="26">
        <v>1.254</v>
      </c>
      <c r="AI58" s="26">
        <v>1.238</v>
      </c>
      <c r="AJ58" s="25">
        <v>0</v>
      </c>
      <c r="AK58" s="26">
        <v>1.1060000000000001</v>
      </c>
      <c r="AL58" s="26">
        <v>1.0900000000000001</v>
      </c>
      <c r="AM58" s="25">
        <v>0</v>
      </c>
      <c r="AN58" s="26">
        <v>1.1060000000000001</v>
      </c>
      <c r="AO58" s="26">
        <v>1.0900000000000001</v>
      </c>
      <c r="AP58" s="26">
        <v>0</v>
      </c>
      <c r="AQ58" s="26">
        <v>1.254</v>
      </c>
      <c r="AR58" s="26">
        <v>1.238</v>
      </c>
      <c r="AS58" s="25">
        <v>0</v>
      </c>
      <c r="AT58" s="26">
        <v>1.1060000000000001</v>
      </c>
      <c r="AU58" s="26">
        <v>1.0900000000000001</v>
      </c>
    </row>
    <row r="59" spans="29:62" x14ac:dyDescent="0.2">
      <c r="AC59" s="18" t="s">
        <v>143</v>
      </c>
      <c r="AD59" s="25">
        <v>0</v>
      </c>
      <c r="AE59" s="26">
        <v>1.4570000000000001</v>
      </c>
      <c r="AF59" s="26">
        <v>1.4410000000000001</v>
      </c>
      <c r="AG59" s="26">
        <v>0</v>
      </c>
      <c r="AH59" s="26">
        <v>1.605</v>
      </c>
      <c r="AI59" s="26">
        <v>1.589</v>
      </c>
      <c r="AJ59" s="25">
        <v>0</v>
      </c>
      <c r="AK59" s="26">
        <v>1.4570000000000001</v>
      </c>
      <c r="AL59" s="26">
        <v>1.4410000000000001</v>
      </c>
      <c r="AM59" s="25">
        <v>0</v>
      </c>
      <c r="AN59" s="26">
        <v>1.4570000000000001</v>
      </c>
      <c r="AO59" s="26">
        <v>1.4410000000000001</v>
      </c>
      <c r="AP59" s="26">
        <v>0</v>
      </c>
      <c r="AQ59" s="26">
        <v>1.605</v>
      </c>
      <c r="AR59" s="26">
        <v>1.589</v>
      </c>
      <c r="AS59" s="25">
        <v>0</v>
      </c>
      <c r="AT59" s="26">
        <v>1.4570000000000001</v>
      </c>
      <c r="AU59" s="26">
        <v>1.4410000000000001</v>
      </c>
    </row>
    <row r="60" spans="29:62" x14ac:dyDescent="0.2">
      <c r="AC60" s="18" t="s">
        <v>219</v>
      </c>
      <c r="AD60" s="25">
        <v>0</v>
      </c>
      <c r="AE60" s="26">
        <v>1.623</v>
      </c>
      <c r="AF60" s="26">
        <v>1.6060000000000001</v>
      </c>
      <c r="AG60" s="26">
        <v>0</v>
      </c>
      <c r="AH60" s="26">
        <v>1.7709999999999999</v>
      </c>
      <c r="AI60" s="26">
        <v>1.734</v>
      </c>
      <c r="AJ60" s="25">
        <v>0</v>
      </c>
      <c r="AK60" s="26">
        <v>1.623</v>
      </c>
      <c r="AL60" s="26">
        <v>1.6060000000000001</v>
      </c>
      <c r="AM60" s="25">
        <v>0</v>
      </c>
      <c r="AN60" s="26">
        <v>1.623</v>
      </c>
      <c r="AO60" s="26">
        <v>1.6060000000000001</v>
      </c>
      <c r="AP60" s="26">
        <v>0</v>
      </c>
      <c r="AQ60" s="26">
        <v>1.7709999999999999</v>
      </c>
      <c r="AR60" s="26">
        <v>1.734</v>
      </c>
      <c r="AS60" s="25">
        <v>0</v>
      </c>
      <c r="AT60" s="26">
        <v>1.623</v>
      </c>
      <c r="AU60" s="26">
        <v>1.6060000000000001</v>
      </c>
    </row>
    <row r="61" spans="29:62" x14ac:dyDescent="0.2">
      <c r="AC61" s="18" t="s">
        <v>210</v>
      </c>
      <c r="AD61" s="25">
        <v>0</v>
      </c>
      <c r="AE61" s="26">
        <v>1.1040000000000001</v>
      </c>
      <c r="AF61" s="26">
        <v>1.0880000000000001</v>
      </c>
      <c r="AG61" s="26">
        <v>0</v>
      </c>
      <c r="AH61" s="26">
        <v>1.252</v>
      </c>
      <c r="AI61" s="26">
        <v>1.236</v>
      </c>
      <c r="AJ61" s="25">
        <v>0</v>
      </c>
      <c r="AK61" s="26">
        <v>1.1040000000000001</v>
      </c>
      <c r="AL61" s="26">
        <v>1.0880000000000001</v>
      </c>
      <c r="AM61" s="25">
        <v>0</v>
      </c>
      <c r="AN61" s="26">
        <v>1.1040000000000001</v>
      </c>
      <c r="AO61" s="26">
        <v>1.0880000000000001</v>
      </c>
      <c r="AP61" s="26">
        <v>0</v>
      </c>
      <c r="AQ61" s="26">
        <v>1.252</v>
      </c>
      <c r="AR61" s="26">
        <v>1.236</v>
      </c>
      <c r="AS61" s="25">
        <v>0</v>
      </c>
      <c r="AT61" s="26">
        <v>1.1040000000000001</v>
      </c>
      <c r="AU61" s="26">
        <v>1.0880000000000001</v>
      </c>
    </row>
    <row r="62" spans="29:62" x14ac:dyDescent="0.2">
      <c r="AC62" s="19" t="s">
        <v>144</v>
      </c>
      <c r="AD62" s="27">
        <v>0</v>
      </c>
      <c r="AE62" s="28">
        <v>1.456</v>
      </c>
      <c r="AF62" s="28">
        <v>1.44</v>
      </c>
      <c r="AG62" s="28">
        <v>0</v>
      </c>
      <c r="AH62" s="28">
        <v>1.6040000000000001</v>
      </c>
      <c r="AI62" s="28">
        <v>1.5880000000000001</v>
      </c>
      <c r="AJ62" s="27">
        <v>0</v>
      </c>
      <c r="AK62" s="28">
        <v>1.456</v>
      </c>
      <c r="AL62" s="28">
        <v>1.44</v>
      </c>
      <c r="AM62" s="27">
        <v>0</v>
      </c>
      <c r="AN62" s="28">
        <v>1.456</v>
      </c>
      <c r="AO62" s="28">
        <v>1.44</v>
      </c>
      <c r="AP62" s="28">
        <v>0</v>
      </c>
      <c r="AQ62" s="28">
        <v>1.6040000000000001</v>
      </c>
      <c r="AR62" s="28">
        <v>1.5880000000000001</v>
      </c>
      <c r="AS62" s="27">
        <v>0</v>
      </c>
      <c r="AT62" s="28">
        <v>1.456</v>
      </c>
      <c r="AU62" s="28">
        <v>1.44</v>
      </c>
    </row>
    <row r="63" spans="29:62" x14ac:dyDescent="0.2">
      <c r="AC63" s="19" t="s">
        <v>220</v>
      </c>
      <c r="AD63" s="27">
        <v>0</v>
      </c>
      <c r="AE63" s="28">
        <v>1.6220000000000001</v>
      </c>
      <c r="AF63" s="28">
        <v>1.605</v>
      </c>
      <c r="AG63" s="28">
        <v>0</v>
      </c>
      <c r="AH63" s="28">
        <v>1.77</v>
      </c>
      <c r="AI63" s="28">
        <v>1.7330000000000001</v>
      </c>
      <c r="AJ63" s="27">
        <v>0</v>
      </c>
      <c r="AK63" s="28">
        <v>1.6220000000000001</v>
      </c>
      <c r="AL63" s="28">
        <v>1.605</v>
      </c>
      <c r="AM63" s="27">
        <v>0</v>
      </c>
      <c r="AN63" s="28">
        <v>1.6220000000000001</v>
      </c>
      <c r="AO63" s="28">
        <v>1.605</v>
      </c>
      <c r="AP63" s="28">
        <v>0</v>
      </c>
      <c r="AQ63" s="28">
        <v>1.77</v>
      </c>
      <c r="AR63" s="28">
        <v>1.7330000000000001</v>
      </c>
      <c r="AS63" s="27">
        <v>0</v>
      </c>
      <c r="AT63" s="28">
        <v>1.6220000000000001</v>
      </c>
      <c r="AU63" s="28">
        <v>1.605</v>
      </c>
    </row>
  </sheetData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I3"/>
  <sheetViews>
    <sheetView workbookViewId="0">
      <selection activeCell="G20" sqref="G20"/>
    </sheetView>
  </sheetViews>
  <sheetFormatPr defaultRowHeight="14.25" x14ac:dyDescent="0.2"/>
  <cols>
    <col min="1" max="1" width="10.125" bestFit="1" customWidth="1"/>
    <col min="2" max="2" width="5.875" bestFit="1" customWidth="1"/>
    <col min="3" max="3" width="9.875" bestFit="1" customWidth="1"/>
    <col min="4" max="4" width="6.125" bestFit="1" customWidth="1"/>
    <col min="5" max="5" width="4.875" bestFit="1" customWidth="1"/>
    <col min="6" max="6" width="6.875" bestFit="1" customWidth="1"/>
    <col min="7" max="7" width="5.875" bestFit="1" customWidth="1"/>
    <col min="8" max="9" width="3.125" bestFit="1" customWidth="1"/>
    <col min="10" max="10" width="5.875" bestFit="1" customWidth="1"/>
    <col min="11" max="11" width="3.125" bestFit="1" customWidth="1"/>
    <col min="12" max="13" width="5.875" bestFit="1" customWidth="1"/>
    <col min="14" max="15" width="3.125" bestFit="1" customWidth="1"/>
    <col min="16" max="16" width="6.875" bestFit="1" customWidth="1"/>
    <col min="17" max="17" width="6.125" bestFit="1" customWidth="1"/>
    <col min="18" max="18" width="5.875" bestFit="1" customWidth="1"/>
    <col min="19" max="19" width="5.25" customWidth="1"/>
    <col min="20" max="45" width="3.125" bestFit="1" customWidth="1"/>
    <col min="46" max="46" width="4.875" customWidth="1"/>
    <col min="47" max="59" width="3.125" bestFit="1" customWidth="1"/>
    <col min="60" max="60" width="5.875" customWidth="1"/>
    <col min="61" max="61" width="3.875" bestFit="1" customWidth="1"/>
    <col min="62" max="66" width="3.125" bestFit="1" customWidth="1"/>
  </cols>
  <sheetData>
    <row r="1" spans="1:61" x14ac:dyDescent="0.2">
      <c r="A1" t="s">
        <v>2</v>
      </c>
      <c r="B1" t="s">
        <v>461</v>
      </c>
      <c r="C1" t="s">
        <v>510</v>
      </c>
      <c r="D1" t="s">
        <v>511</v>
      </c>
      <c r="E1" t="s">
        <v>512</v>
      </c>
      <c r="F1" t="s">
        <v>176</v>
      </c>
      <c r="G1" t="s">
        <v>510</v>
      </c>
      <c r="H1" t="s">
        <v>511</v>
      </c>
      <c r="I1" t="s">
        <v>512</v>
      </c>
      <c r="J1" t="s">
        <v>466</v>
      </c>
      <c r="K1" t="s">
        <v>510</v>
      </c>
      <c r="L1" t="s">
        <v>511</v>
      </c>
      <c r="M1" t="s">
        <v>512</v>
      </c>
      <c r="N1" t="s">
        <v>177</v>
      </c>
      <c r="O1" t="s">
        <v>510</v>
      </c>
      <c r="P1" t="s">
        <v>511</v>
      </c>
      <c r="Q1" t="s">
        <v>512</v>
      </c>
      <c r="R1" t="s">
        <v>462</v>
      </c>
      <c r="S1" t="s">
        <v>510</v>
      </c>
      <c r="T1" t="s">
        <v>511</v>
      </c>
      <c r="U1" t="s">
        <v>512</v>
      </c>
      <c r="V1" t="s">
        <v>463</v>
      </c>
      <c r="W1" t="s">
        <v>510</v>
      </c>
      <c r="X1" t="s">
        <v>511</v>
      </c>
      <c r="Y1" t="s">
        <v>512</v>
      </c>
      <c r="Z1" t="s">
        <v>460</v>
      </c>
      <c r="AA1" t="s">
        <v>510</v>
      </c>
      <c r="AB1" t="s">
        <v>511</v>
      </c>
      <c r="AC1" t="s">
        <v>512</v>
      </c>
      <c r="AD1" t="s">
        <v>504</v>
      </c>
      <c r="AE1" t="s">
        <v>510</v>
      </c>
      <c r="AF1" t="s">
        <v>511</v>
      </c>
      <c r="AG1" t="s">
        <v>512</v>
      </c>
      <c r="AH1" t="s">
        <v>467</v>
      </c>
      <c r="AI1" t="s">
        <v>510</v>
      </c>
      <c r="AJ1" t="s">
        <v>511</v>
      </c>
      <c r="AK1" t="s">
        <v>512</v>
      </c>
      <c r="AL1" t="s">
        <v>175</v>
      </c>
      <c r="AM1" t="s">
        <v>510</v>
      </c>
      <c r="AN1" t="s">
        <v>511</v>
      </c>
      <c r="AO1" t="s">
        <v>512</v>
      </c>
      <c r="AP1" t="s">
        <v>464</v>
      </c>
      <c r="AQ1" t="s">
        <v>510</v>
      </c>
      <c r="AR1" t="s">
        <v>511</v>
      </c>
      <c r="AS1" t="s">
        <v>512</v>
      </c>
      <c r="AT1" t="s">
        <v>465</v>
      </c>
      <c r="AU1" t="s">
        <v>510</v>
      </c>
      <c r="AV1" t="s">
        <v>511</v>
      </c>
      <c r="AW1" t="s">
        <v>512</v>
      </c>
      <c r="AX1" t="s">
        <v>172</v>
      </c>
      <c r="AY1" t="s">
        <v>510</v>
      </c>
      <c r="AZ1" t="s">
        <v>511</v>
      </c>
      <c r="BA1" t="s">
        <v>512</v>
      </c>
      <c r="BB1" t="s">
        <v>173</v>
      </c>
      <c r="BC1" t="s">
        <v>510</v>
      </c>
      <c r="BD1" t="s">
        <v>511</v>
      </c>
      <c r="BE1" t="s">
        <v>512</v>
      </c>
      <c r="BF1" t="s">
        <v>174</v>
      </c>
      <c r="BG1" t="s">
        <v>510</v>
      </c>
      <c r="BH1" t="s">
        <v>511</v>
      </c>
      <c r="BI1" t="s">
        <v>512</v>
      </c>
    </row>
    <row r="2" spans="1:61" x14ac:dyDescent="0.2">
      <c r="A2" t="s">
        <v>596</v>
      </c>
      <c r="B2">
        <v>0</v>
      </c>
      <c r="C2">
        <v>0.33399999999999996</v>
      </c>
      <c r="D2">
        <v>0.34399999999999997</v>
      </c>
      <c r="E2">
        <v>0.35399999999999998</v>
      </c>
      <c r="F2">
        <v>0</v>
      </c>
      <c r="G2">
        <v>1.59</v>
      </c>
      <c r="H2">
        <v>1.6</v>
      </c>
      <c r="I2">
        <v>1.61</v>
      </c>
      <c r="J2">
        <v>0</v>
      </c>
      <c r="K2">
        <v>-0.01</v>
      </c>
      <c r="L2">
        <v>0</v>
      </c>
      <c r="M2">
        <v>0.01</v>
      </c>
      <c r="N2">
        <v>0</v>
      </c>
      <c r="O2">
        <v>-0.01</v>
      </c>
      <c r="P2">
        <v>0</v>
      </c>
      <c r="Q2">
        <v>0.01</v>
      </c>
      <c r="R2">
        <v>0</v>
      </c>
      <c r="S2">
        <v>0.34399999999999997</v>
      </c>
      <c r="T2">
        <v>0.35399999999999998</v>
      </c>
      <c r="U2">
        <v>0.36399999999999999</v>
      </c>
      <c r="V2">
        <v>0</v>
      </c>
      <c r="W2">
        <v>0.33899999999999997</v>
      </c>
      <c r="X2">
        <v>0.35399999999999998</v>
      </c>
      <c r="Y2">
        <v>0.36899999999999999</v>
      </c>
      <c r="Z2">
        <v>0</v>
      </c>
      <c r="AA2">
        <v>0.33399999999999996</v>
      </c>
      <c r="AB2">
        <v>0.34399999999999997</v>
      </c>
      <c r="AC2">
        <v>0.35399999999999998</v>
      </c>
      <c r="AD2">
        <v>0</v>
      </c>
      <c r="AE2">
        <v>1.59</v>
      </c>
      <c r="AF2">
        <v>1.6</v>
      </c>
      <c r="AG2">
        <v>1.61</v>
      </c>
      <c r="AH2">
        <v>0</v>
      </c>
      <c r="AI2">
        <v>-0.01</v>
      </c>
      <c r="AJ2">
        <v>0</v>
      </c>
      <c r="AK2">
        <v>0.01</v>
      </c>
      <c r="AL2">
        <v>0</v>
      </c>
      <c r="AM2">
        <v>-0.01</v>
      </c>
      <c r="AN2">
        <v>0</v>
      </c>
      <c r="AO2">
        <v>0.01</v>
      </c>
      <c r="AP2">
        <v>0</v>
      </c>
      <c r="AQ2">
        <v>0.34399999999999997</v>
      </c>
      <c r="AR2">
        <v>0.35399999999999998</v>
      </c>
      <c r="AS2">
        <v>0.36399999999999999</v>
      </c>
      <c r="AT2">
        <v>0</v>
      </c>
      <c r="AU2">
        <v>0.33899999999999997</v>
      </c>
      <c r="AV2">
        <v>0.35399999999999998</v>
      </c>
      <c r="AW2">
        <v>0.36899999999999999</v>
      </c>
      <c r="AX2">
        <v>0</v>
      </c>
      <c r="AY2">
        <v>-0.01</v>
      </c>
      <c r="AZ2">
        <v>0</v>
      </c>
      <c r="BA2">
        <v>0.01</v>
      </c>
      <c r="BB2">
        <v>0</v>
      </c>
      <c r="BC2">
        <v>-0.01</v>
      </c>
      <c r="BD2">
        <v>0</v>
      </c>
      <c r="BE2">
        <v>0.01</v>
      </c>
      <c r="BF2">
        <v>0</v>
      </c>
      <c r="BG2">
        <v>28.25</v>
      </c>
      <c r="BH2">
        <v>28.25</v>
      </c>
      <c r="BI2">
        <v>28.75</v>
      </c>
    </row>
    <row r="3" spans="1:61" x14ac:dyDescent="0.2">
      <c r="A3" t="s">
        <v>596</v>
      </c>
      <c r="B3">
        <v>0.32</v>
      </c>
      <c r="C3">
        <v>0.33399999999999996</v>
      </c>
      <c r="D3">
        <v>0.34399999999999997</v>
      </c>
      <c r="E3">
        <v>0.35399999999999998</v>
      </c>
      <c r="F3">
        <v>0.32</v>
      </c>
      <c r="G3">
        <v>1.59</v>
      </c>
      <c r="H3">
        <v>1.6</v>
      </c>
      <c r="I3">
        <v>1.61</v>
      </c>
      <c r="J3">
        <v>0</v>
      </c>
      <c r="K3">
        <v>-0.01</v>
      </c>
      <c r="L3">
        <v>0</v>
      </c>
      <c r="M3">
        <v>0.01</v>
      </c>
      <c r="N3">
        <v>0</v>
      </c>
      <c r="O3">
        <v>-0.01</v>
      </c>
      <c r="P3">
        <v>0</v>
      </c>
      <c r="Q3">
        <v>0.01</v>
      </c>
      <c r="R3">
        <v>0.32</v>
      </c>
      <c r="S3">
        <v>0.34399999999999997</v>
      </c>
      <c r="T3">
        <v>0.35399999999999998</v>
      </c>
      <c r="U3">
        <v>0.36399999999999999</v>
      </c>
      <c r="V3">
        <v>0.32</v>
      </c>
      <c r="W3">
        <v>0.33899999999999997</v>
      </c>
      <c r="X3">
        <v>0.35399999999999998</v>
      </c>
      <c r="Y3">
        <v>0.36899999999999999</v>
      </c>
      <c r="Z3">
        <v>0.32</v>
      </c>
      <c r="AA3">
        <v>0.33399999999999996</v>
      </c>
      <c r="AB3">
        <v>0.34399999999999997</v>
      </c>
      <c r="AC3">
        <v>0.35399999999999998</v>
      </c>
      <c r="AD3">
        <v>0.32</v>
      </c>
      <c r="AE3">
        <v>1.59</v>
      </c>
      <c r="AF3">
        <v>1.6</v>
      </c>
      <c r="AG3">
        <v>1.61</v>
      </c>
      <c r="AH3">
        <v>0</v>
      </c>
      <c r="AI3">
        <v>-0.01</v>
      </c>
      <c r="AJ3">
        <v>0</v>
      </c>
      <c r="AK3">
        <v>0.01</v>
      </c>
      <c r="AL3">
        <v>0</v>
      </c>
      <c r="AM3">
        <v>-0.01</v>
      </c>
      <c r="AN3">
        <v>0</v>
      </c>
      <c r="AO3">
        <v>0.01</v>
      </c>
      <c r="AP3">
        <v>0.32</v>
      </c>
      <c r="AQ3">
        <v>0.34399999999999997</v>
      </c>
      <c r="AR3">
        <v>0.35399999999999998</v>
      </c>
      <c r="AS3">
        <v>0.36399999999999999</v>
      </c>
      <c r="AT3">
        <v>0.32</v>
      </c>
      <c r="AU3">
        <v>0.33899999999999997</v>
      </c>
      <c r="AV3">
        <v>0.35399999999999998</v>
      </c>
      <c r="AW3">
        <v>0.36899999999999999</v>
      </c>
      <c r="AX3">
        <v>0</v>
      </c>
      <c r="AY3">
        <v>-0.01</v>
      </c>
      <c r="AZ3">
        <v>0</v>
      </c>
      <c r="BA3">
        <v>0.01</v>
      </c>
      <c r="BB3">
        <v>0</v>
      </c>
      <c r="BC3">
        <v>-0.01</v>
      </c>
      <c r="BD3">
        <v>0</v>
      </c>
      <c r="BE3">
        <v>0.01</v>
      </c>
      <c r="BF3">
        <v>0.32</v>
      </c>
      <c r="BG3">
        <v>28.25</v>
      </c>
      <c r="BH3">
        <v>28.25</v>
      </c>
      <c r="BI3">
        <v>28.75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J8"/>
  <sheetViews>
    <sheetView workbookViewId="0">
      <selection activeCell="G29" sqref="G29"/>
    </sheetView>
  </sheetViews>
  <sheetFormatPr defaultRowHeight="14.25" x14ac:dyDescent="0.2"/>
  <sheetData>
    <row r="2" spans="2:10" x14ac:dyDescent="0.2">
      <c r="C2" t="s">
        <v>537</v>
      </c>
    </row>
    <row r="4" spans="2:10" x14ac:dyDescent="0.2">
      <c r="B4" t="s">
        <v>538</v>
      </c>
      <c r="C4" t="s">
        <v>514</v>
      </c>
    </row>
    <row r="7" spans="2:10" x14ac:dyDescent="0.2">
      <c r="B7" t="s">
        <v>539</v>
      </c>
    </row>
    <row r="8" spans="2:10" ht="103.5" x14ac:dyDescent="0.2">
      <c r="C8" s="71" t="str">
        <f>CONCATENATE($C$4," ","Setup Yellow Min")</f>
        <v>B Setup Yellow Min</v>
      </c>
      <c r="D8" s="71" t="str">
        <f>CONCATENATE($C$4," ","Setup Green Min")</f>
        <v>B Setup Green Min</v>
      </c>
      <c r="E8" s="71" t="str">
        <f>CONCATENATE($C$4," ","Setup Green Max")</f>
        <v>B Setup Green Max</v>
      </c>
      <c r="F8" s="71" t="str">
        <f>CONCATENATE($C$4," ","Setup Yellow Max")</f>
        <v>B Setup Yellow Max</v>
      </c>
      <c r="G8" s="71" t="str">
        <f>CONCATENATE($C$4," ","Run Yellow Min")</f>
        <v>B Run Yellow Min</v>
      </c>
      <c r="H8" s="71" t="str">
        <f>CONCATENATE($C$4," ","Run Green Min")</f>
        <v>B Run Green Min</v>
      </c>
      <c r="I8" s="71" t="str">
        <f>CONCATENATE($C$4," ","Run Green Max")</f>
        <v>B Run Green Max</v>
      </c>
      <c r="J8" s="71" t="str">
        <f>CONCATENATE($C$4," ","Run Yellow Max")</f>
        <v>B Run Yellow Max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O3"/>
  <sheetViews>
    <sheetView workbookViewId="0">
      <selection activeCell="H23" sqref="H23"/>
    </sheetView>
  </sheetViews>
  <sheetFormatPr defaultRowHeight="14.25" x14ac:dyDescent="0.2"/>
  <cols>
    <col min="2" max="2" width="10.375" bestFit="1" customWidth="1"/>
    <col min="3" max="3" width="9.875" bestFit="1" customWidth="1"/>
    <col min="4" max="4" width="11" bestFit="1" customWidth="1"/>
    <col min="5" max="5" width="9.875" bestFit="1" customWidth="1"/>
    <col min="6" max="6" width="9" bestFit="1" customWidth="1"/>
    <col min="7" max="7" width="11.75" bestFit="1" customWidth="1"/>
    <col min="8" max="8" width="8.5" bestFit="1" customWidth="1"/>
    <col min="9" max="9" width="13" bestFit="1" customWidth="1"/>
    <col min="10" max="10" width="13.125" bestFit="1" customWidth="1"/>
    <col min="11" max="11" width="8.5" bestFit="1" customWidth="1"/>
    <col min="12" max="12" width="15.5" bestFit="1" customWidth="1"/>
    <col min="13" max="13" width="17.625" bestFit="1" customWidth="1"/>
    <col min="14" max="14" width="10.5" bestFit="1" customWidth="1"/>
    <col min="15" max="15" width="3.875" bestFit="1" customWidth="1"/>
    <col min="18" max="18" width="12.25" bestFit="1" customWidth="1"/>
    <col min="19" max="19" width="9.25" bestFit="1" customWidth="1"/>
    <col min="20" max="20" width="10.625" bestFit="1" customWidth="1"/>
    <col min="21" max="21" width="9.75" bestFit="1" customWidth="1"/>
  </cols>
  <sheetData>
    <row r="2" spans="1:15" x14ac:dyDescent="0.2">
      <c r="A2" t="s">
        <v>558</v>
      </c>
      <c r="B2" t="s">
        <v>560</v>
      </c>
      <c r="C2" t="s">
        <v>554</v>
      </c>
      <c r="D2" t="s">
        <v>559</v>
      </c>
      <c r="E2" t="s">
        <v>556</v>
      </c>
      <c r="F2" t="s">
        <v>557</v>
      </c>
      <c r="G2" t="s">
        <v>555</v>
      </c>
      <c r="H2" t="s">
        <v>633</v>
      </c>
      <c r="I2" t="s">
        <v>620</v>
      </c>
      <c r="J2" t="s">
        <v>634</v>
      </c>
      <c r="K2" t="s">
        <v>635</v>
      </c>
      <c r="L2" t="s">
        <v>636</v>
      </c>
      <c r="M2" t="s">
        <v>637</v>
      </c>
      <c r="N2" t="s">
        <v>638</v>
      </c>
      <c r="O2" t="s">
        <v>639</v>
      </c>
    </row>
    <row r="3" spans="1:15" x14ac:dyDescent="0.2">
      <c r="A3">
        <v>1</v>
      </c>
      <c r="B3" s="97">
        <v>44013</v>
      </c>
      <c r="C3" t="s">
        <v>628</v>
      </c>
      <c r="D3" s="98">
        <v>0.52300925925925923</v>
      </c>
      <c r="E3" t="s">
        <v>618</v>
      </c>
      <c r="F3" t="s">
        <v>428</v>
      </c>
      <c r="G3" t="s">
        <v>630</v>
      </c>
      <c r="H3" t="s">
        <v>631</v>
      </c>
      <c r="I3" t="s">
        <v>619</v>
      </c>
      <c r="J3">
        <v>0.23499999999999999</v>
      </c>
      <c r="K3">
        <v>0.435</v>
      </c>
      <c r="L3">
        <v>147</v>
      </c>
      <c r="M3" t="b">
        <v>0</v>
      </c>
      <c r="N3" t="s">
        <v>627</v>
      </c>
      <c r="O3" t="b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49C0A2EE221343A4B4471074DE2FD4" ma:contentTypeVersion="14" ma:contentTypeDescription="Create a new document." ma:contentTypeScope="" ma:versionID="d08f9bc61a75231e848ce13e9064ea17">
  <xsd:schema xmlns:xsd="http://www.w3.org/2001/XMLSchema" xmlns:xs="http://www.w3.org/2001/XMLSchema" xmlns:p="http://schemas.microsoft.com/office/2006/metadata/properties" xmlns:ns2="28ce3a3d-46d2-4ad2-895a-571db076146f" xmlns:ns3="f776a115-9a87-4d80-8113-bad1b06c3520" targetNamespace="http://schemas.microsoft.com/office/2006/metadata/properties" ma:root="true" ma:fieldsID="19ee5f869947155eccdccee1cae85b2a" ns2:_="" ns3:_="">
    <xsd:import namespace="28ce3a3d-46d2-4ad2-895a-571db076146f"/>
    <xsd:import namespace="f776a115-9a87-4d80-8113-bad1b06c352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ce3a3d-46d2-4ad2-895a-571db076146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76a115-9a87-4d80-8113-bad1b06c35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Date" ma:index="21" nillable="true" ma:displayName="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 xmlns="f776a115-9a87-4d80-8113-bad1b06c3520" xsi:nil="true"/>
  </documentManagement>
</p:properties>
</file>

<file path=customXml/itemProps1.xml><?xml version="1.0" encoding="utf-8"?>
<ds:datastoreItem xmlns:ds="http://schemas.openxmlformats.org/officeDocument/2006/customXml" ds:itemID="{1BBAF890-8FDC-4EF3-892F-5EC65927FD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1471B4-8D3A-4D36-881F-779C09555A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ce3a3d-46d2-4ad2-895a-571db076146f"/>
    <ds:schemaRef ds:uri="f776a115-9a87-4d80-8113-bad1b06c35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17C607-ACFF-4E11-99C9-B29AD2689F18}">
  <ds:schemaRefs>
    <ds:schemaRef ds:uri="http://purl.org/dc/terms/"/>
    <ds:schemaRef ds:uri="http://schemas.microsoft.com/office/2006/metadata/properties"/>
    <ds:schemaRef ds:uri="http://purl.org/dc/dcmitype/"/>
    <ds:schemaRef ds:uri="28ce3a3d-46d2-4ad2-895a-571db076146f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776a115-9a87-4d80-8113-bad1b06c352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117</vt:i4>
      </vt:variant>
    </vt:vector>
  </HeadingPairs>
  <TitlesOfParts>
    <vt:vector size="123" baseType="lpstr">
      <vt:lpstr>Setup</vt:lpstr>
      <vt:lpstr>Calculations</vt:lpstr>
      <vt:lpstr>Table</vt:lpstr>
      <vt:lpstr>Graphical Analysis</vt:lpstr>
      <vt:lpstr>Sheet2</vt:lpstr>
      <vt:lpstr>ListPop</vt:lpstr>
      <vt:lpstr>Belt_Width</vt:lpstr>
      <vt:lpstr>CB5_Weave_Inspection_Comment</vt:lpstr>
      <vt:lpstr>CB5_Weave_Inspection_Plan</vt:lpstr>
      <vt:lpstr>CB5_Weave_Inspection_Spec</vt:lpstr>
      <vt:lpstr>Center_Link_Location</vt:lpstr>
      <vt:lpstr>Check10</vt:lpstr>
      <vt:lpstr>Check11</vt:lpstr>
      <vt:lpstr>Check12</vt:lpstr>
      <vt:lpstr>Check13</vt:lpstr>
      <vt:lpstr>Check14</vt:lpstr>
      <vt:lpstr>Check15</vt:lpstr>
      <vt:lpstr>Check16</vt:lpstr>
      <vt:lpstr>Check17</vt:lpstr>
      <vt:lpstr>Check18</vt:lpstr>
      <vt:lpstr>Check19</vt:lpstr>
      <vt:lpstr>Check2</vt:lpstr>
      <vt:lpstr>Check20</vt:lpstr>
      <vt:lpstr>Check3</vt:lpstr>
      <vt:lpstr>Check4</vt:lpstr>
      <vt:lpstr>Check5</vt:lpstr>
      <vt:lpstr>Check6</vt:lpstr>
      <vt:lpstr>Check7</vt:lpstr>
      <vt:lpstr>Check8</vt:lpstr>
      <vt:lpstr>Check9</vt:lpstr>
      <vt:lpstr>Company</vt:lpstr>
      <vt:lpstr>Conveying_Surface</vt:lpstr>
      <vt:lpstr>Crimp_Depth</vt:lpstr>
      <vt:lpstr>Crimp_Inspection_Comment</vt:lpstr>
      <vt:lpstr>Crimp_Inspection_Plan</vt:lpstr>
      <vt:lpstr>Crimp_Inspection_Spec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Data18</vt:lpstr>
      <vt:lpstr>Data19</vt:lpstr>
      <vt:lpstr>Data2</vt:lpstr>
      <vt:lpstr>Data20</vt:lpstr>
      <vt:lpstr>Data3</vt:lpstr>
      <vt:lpstr>Data4</vt:lpstr>
      <vt:lpstr>Data5</vt:lpstr>
      <vt:lpstr>Data6</vt:lpstr>
      <vt:lpstr>Data7</vt:lpstr>
      <vt:lpstr>Data8</vt:lpstr>
      <vt:lpstr>Data9</vt:lpstr>
      <vt:lpstr>DwgNum</vt:lpstr>
      <vt:lpstr>Employee_Num</vt:lpstr>
      <vt:lpstr>Fabric_Width</vt:lpstr>
      <vt:lpstr>Failed_Comment</vt:lpstr>
      <vt:lpstr>FirstCount</vt:lpstr>
      <vt:lpstr>Flatwire_Picket_Inspection_Comment</vt:lpstr>
      <vt:lpstr>Flatwire_Picket_Inspection_Plan</vt:lpstr>
      <vt:lpstr>Flatwire_Picket_Inspection_Spec</vt:lpstr>
      <vt:lpstr>Free_Picket_Width</vt:lpstr>
      <vt:lpstr>Grid_Welding_Inspection_Comment</vt:lpstr>
      <vt:lpstr>Grid_Welding_Inspection_Plan</vt:lpstr>
      <vt:lpstr>Grid_Welding_Inspection_Spec</vt:lpstr>
      <vt:lpstr>Inside_Outside_Spiral</vt:lpstr>
      <vt:lpstr>Insp_Plan</vt:lpstr>
      <vt:lpstr>Insp_Type</vt:lpstr>
      <vt:lpstr>Inspection_Date</vt:lpstr>
      <vt:lpstr>IO_Spiral</vt:lpstr>
      <vt:lpstr>JobComments</vt:lpstr>
      <vt:lpstr>JobNum</vt:lpstr>
      <vt:lpstr>Loop_Count</vt:lpstr>
      <vt:lpstr>LPartNum</vt:lpstr>
      <vt:lpstr>MeshDesc</vt:lpstr>
      <vt:lpstr>MeshGauge</vt:lpstr>
      <vt:lpstr>Operation_Comment</vt:lpstr>
      <vt:lpstr>PartNum</vt:lpstr>
      <vt:lpstr>Passed</vt:lpstr>
      <vt:lpstr>Plant</vt:lpstr>
      <vt:lpstr>RevNum</vt:lpstr>
      <vt:lpstr>SampleNum</vt:lpstr>
      <vt:lpstr>SC_Inspection_Comment</vt:lpstr>
      <vt:lpstr>SC_Inspection_Plan</vt:lpstr>
      <vt:lpstr>SC_Inspection_Spec</vt:lpstr>
      <vt:lpstr>Schar1</vt:lpstr>
      <vt:lpstr>Schar10</vt:lpstr>
      <vt:lpstr>Schar11</vt:lpstr>
      <vt:lpstr>Schar12</vt:lpstr>
      <vt:lpstr>Schar13</vt:lpstr>
      <vt:lpstr>Schar14</vt:lpstr>
      <vt:lpstr>Schar15</vt:lpstr>
      <vt:lpstr>Schar16</vt:lpstr>
      <vt:lpstr>Schar17</vt:lpstr>
      <vt:lpstr>Schar18</vt:lpstr>
      <vt:lpstr>Schar19</vt:lpstr>
      <vt:lpstr>Schar20</vt:lpstr>
      <vt:lpstr>Schar3</vt:lpstr>
      <vt:lpstr>Schar4</vt:lpstr>
      <vt:lpstr>Schar7</vt:lpstr>
      <vt:lpstr>Schar8</vt:lpstr>
      <vt:lpstr>Schar9</vt:lpstr>
      <vt:lpstr>Setup_Run</vt:lpstr>
      <vt:lpstr>Spec_Id</vt:lpstr>
      <vt:lpstr>Spiral_Inspection_Comment</vt:lpstr>
      <vt:lpstr>Spiral_Inspection_Plan</vt:lpstr>
      <vt:lpstr>Spiral_Inspection_Spec</vt:lpstr>
      <vt:lpstr>Spiral_Size</vt:lpstr>
      <vt:lpstr>Spiral_Thick</vt:lpstr>
      <vt:lpstr>Spiral_Width</vt:lpstr>
      <vt:lpstr>Spirals_Per_Pitch</vt:lpstr>
      <vt:lpstr>Test_Job_Num</vt:lpstr>
      <vt:lpstr>Time</vt:lpstr>
      <vt:lpstr>Value</vt:lpstr>
      <vt:lpstr>Weaving_Inspection_Comment</vt:lpstr>
      <vt:lpstr>Weaving_Inspection_Plan</vt:lpstr>
      <vt:lpstr>Weaving_Inspection_Spec</vt:lpstr>
      <vt:lpstr>Welding_Inspection_Comment</vt:lpstr>
      <vt:lpstr>Welding_Inspection_Plan</vt:lpstr>
      <vt:lpstr>Welding_Inspection_Spec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witrinc</dc:creator>
  <cp:lastModifiedBy>Ryan Taylor</cp:lastModifiedBy>
  <cp:lastPrinted>2013-08-27T13:09:57Z</cp:lastPrinted>
  <dcterms:created xsi:type="dcterms:W3CDTF">2013-08-01T15:14:35Z</dcterms:created>
  <dcterms:modified xsi:type="dcterms:W3CDTF">2021-06-23T22:17:30Z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0x0101003B49C0A2EE221343A4B4471074DE2FD4</vt:lpwstr>
  </property>
</Properties>
</file>