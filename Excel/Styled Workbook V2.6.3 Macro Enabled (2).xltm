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rtaylor\OneDrive\OneDrive - Ashworth Bros., Inc\Important\Templates\Previous\"/>
    </mc:Choice>
  </mc:AlternateContent>
  <xr:revisionPtr revIDLastSave="0" documentId="13_ncr:1_{581A0F95-D791-4138-8334-A22195B56AC2}" xr6:coauthVersionLast="47" xr6:coauthVersionMax="47" xr10:uidLastSave="{00000000-0000-0000-0000-000000000000}"/>
  <bookViews>
    <workbookView xWindow="28680" yWindow="-120" windowWidth="29040" windowHeight="15840" activeTab="2" xr2:uid="{C81C765E-0E7E-4C5D-9923-593A5E687EB8}"/>
  </bookViews>
  <sheets>
    <sheet name="Key" sheetId="2" r:id="rId1"/>
    <sheet name="List" sheetId="1" r:id="rId2"/>
    <sheet name="Sheet1" sheetId="3" r:id="rId3"/>
  </sheets>
  <functionGroups builtInGroupCount="19">
    <functionGroup name="Cryptosheets"/>
  </functionGroups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4" i="2" l="1"/>
  <c r="D73" i="2"/>
  <c r="D74" i="2" s="1"/>
  <c r="D72" i="2"/>
  <c r="C68" i="2"/>
  <c r="D66" i="2" s="1"/>
  <c r="D61" i="2"/>
  <c r="D60" i="2"/>
  <c r="P50" i="2" a="1"/>
  <c r="P50" i="2" s="1"/>
  <c r="O50" i="2" a="1"/>
  <c r="O50" i="2" s="1"/>
  <c r="N50" i="2" a="1"/>
  <c r="N50" i="2" s="1"/>
  <c r="G50" i="2"/>
  <c r="P49" i="2" a="1"/>
  <c r="P49" i="2" s="1"/>
  <c r="O49" i="2" a="1"/>
  <c r="O49" i="2" s="1"/>
  <c r="N49" i="2" a="1"/>
  <c r="N49" i="2" s="1"/>
  <c r="G49" i="2"/>
  <c r="P48" i="2" a="1"/>
  <c r="P48" i="2" s="1"/>
  <c r="O48" i="2" a="1"/>
  <c r="O48" i="2" s="1"/>
  <c r="N48" i="2" a="1"/>
  <c r="N48" i="2" s="1"/>
  <c r="G48" i="2"/>
  <c r="P47" i="2" a="1"/>
  <c r="P47" i="2" s="1"/>
  <c r="O47" i="2" a="1"/>
  <c r="O47" i="2" s="1"/>
  <c r="N47" i="2" a="1"/>
  <c r="N47" i="2" s="1"/>
  <c r="G47" i="2"/>
  <c r="P46" i="2" a="1"/>
  <c r="P46" i="2" s="1"/>
  <c r="O46" i="2" a="1"/>
  <c r="O46" i="2" s="1"/>
  <c r="N46" i="2" a="1"/>
  <c r="N46" i="2" s="1"/>
  <c r="G46" i="2"/>
  <c r="P45" i="2" a="1"/>
  <c r="P45" i="2" s="1"/>
  <c r="O45" i="2" a="1"/>
  <c r="O45" i="2" s="1"/>
  <c r="N45" i="2" a="1"/>
  <c r="N45" i="2" s="1"/>
  <c r="G45" i="2"/>
  <c r="P44" i="2" a="1"/>
  <c r="P44" i="2" s="1"/>
  <c r="O44" i="2" a="1"/>
  <c r="O44" i="2" s="1"/>
  <c r="N44" i="2" a="1"/>
  <c r="N44" i="2" s="1"/>
  <c r="G44" i="2"/>
  <c r="P43" i="2" a="1"/>
  <c r="P43" i="2" s="1"/>
  <c r="O43" i="2" a="1"/>
  <c r="O43" i="2" s="1"/>
  <c r="N43" i="2" a="1"/>
  <c r="N43" i="2" s="1"/>
  <c r="G43" i="2"/>
  <c r="P42" i="2" a="1"/>
  <c r="P42" i="2" s="1"/>
  <c r="O42" i="2" a="1"/>
  <c r="O42" i="2" s="1"/>
  <c r="N42" i="2" a="1"/>
  <c r="N42" i="2" s="1"/>
  <c r="G42" i="2"/>
  <c r="P41" i="2" a="1"/>
  <c r="P41" i="2" s="1"/>
  <c r="O41" i="2" a="1"/>
  <c r="O41" i="2" s="1"/>
  <c r="N41" i="2" a="1"/>
  <c r="N41" i="2" s="1"/>
  <c r="G41" i="2"/>
  <c r="P40" i="2" a="1"/>
  <c r="P40" i="2" s="1"/>
  <c r="O40" i="2" a="1"/>
  <c r="O40" i="2" s="1"/>
  <c r="N40" i="2" a="1"/>
  <c r="N40" i="2" s="1"/>
  <c r="G40" i="2"/>
  <c r="P39" i="2" a="1"/>
  <c r="P39" i="2" s="1"/>
  <c r="O39" i="2" a="1"/>
  <c r="O39" i="2" s="1"/>
  <c r="N39" i="2" a="1"/>
  <c r="N39" i="2" s="1"/>
  <c r="G39" i="2"/>
  <c r="P38" i="2" a="1"/>
  <c r="P38" i="2" s="1"/>
  <c r="O38" i="2" a="1"/>
  <c r="O38" i="2" s="1"/>
  <c r="N38" i="2" a="1"/>
  <c r="N38" i="2" s="1"/>
  <c r="G38" i="2"/>
  <c r="P37" i="2" a="1"/>
  <c r="P37" i="2" s="1"/>
  <c r="O37" i="2" a="1"/>
  <c r="O37" i="2" s="1"/>
  <c r="N37" i="2" a="1"/>
  <c r="N37" i="2" s="1"/>
  <c r="G37" i="2"/>
  <c r="P36" i="2" a="1"/>
  <c r="P36" i="2" s="1"/>
  <c r="O36" i="2" a="1"/>
  <c r="O36" i="2" s="1"/>
  <c r="N36" i="2" a="1"/>
  <c r="N36" i="2" s="1"/>
  <c r="G36" i="2"/>
  <c r="P35" i="2" a="1"/>
  <c r="P35" i="2" s="1"/>
  <c r="O35" i="2" a="1"/>
  <c r="O35" i="2" s="1"/>
  <c r="N35" i="2" a="1"/>
  <c r="N35" i="2" s="1"/>
  <c r="G35" i="2"/>
  <c r="P34" i="2" a="1"/>
  <c r="P34" i="2" s="1"/>
  <c r="O34" i="2" a="1"/>
  <c r="O34" i="2" s="1"/>
  <c r="N34" i="2" a="1"/>
  <c r="N34" i="2" s="1"/>
  <c r="G34" i="2"/>
  <c r="P33" i="2" a="1"/>
  <c r="P33" i="2" s="1"/>
  <c r="O33" i="2" a="1"/>
  <c r="O33" i="2" s="1"/>
  <c r="N33" i="2" a="1"/>
  <c r="N33" i="2" s="1"/>
  <c r="G33" i="2"/>
  <c r="P32" i="2" a="1"/>
  <c r="P32" i="2" s="1"/>
  <c r="O32" i="2" a="1"/>
  <c r="O32" i="2" s="1"/>
  <c r="N32" i="2" a="1"/>
  <c r="N32" i="2" s="1"/>
  <c r="G32" i="2"/>
  <c r="P31" i="2" a="1"/>
  <c r="P31" i="2" s="1"/>
  <c r="O31" i="2" a="1"/>
  <c r="O31" i="2" s="1"/>
  <c r="N31" i="2" a="1"/>
  <c r="N31" i="2" s="1"/>
  <c r="G31" i="2"/>
  <c r="P30" i="2" a="1"/>
  <c r="P30" i="2" s="1"/>
  <c r="O30" i="2" a="1"/>
  <c r="O30" i="2" s="1"/>
  <c r="N30" i="2" a="1"/>
  <c r="N30" i="2" s="1"/>
  <c r="G30" i="2"/>
  <c r="P29" i="2" a="1"/>
  <c r="P29" i="2" s="1"/>
  <c r="O29" i="2" a="1"/>
  <c r="O29" i="2" s="1"/>
  <c r="N29" i="2" a="1"/>
  <c r="N29" i="2" s="1"/>
  <c r="G29" i="2"/>
  <c r="P28" i="2" a="1"/>
  <c r="P28" i="2" s="1"/>
  <c r="O28" i="2" a="1"/>
  <c r="O28" i="2" s="1"/>
  <c r="N28" i="2" a="1"/>
  <c r="N28" i="2" s="1"/>
  <c r="G28" i="2"/>
  <c r="P27" i="2" a="1"/>
  <c r="P27" i="2" s="1"/>
  <c r="O27" i="2" a="1"/>
  <c r="O27" i="2" s="1"/>
  <c r="N27" i="2" a="1"/>
  <c r="N27" i="2" s="1"/>
  <c r="G27" i="2"/>
  <c r="P26" i="2" a="1"/>
  <c r="P26" i="2" s="1"/>
  <c r="O26" i="2" a="1"/>
  <c r="O26" i="2" s="1"/>
  <c r="N26" i="2" a="1"/>
  <c r="N26" i="2" s="1"/>
  <c r="G26" i="2"/>
  <c r="P25" i="2" a="1"/>
  <c r="P25" i="2" s="1"/>
  <c r="O25" i="2" a="1"/>
  <c r="O25" i="2" s="1"/>
  <c r="N25" i="2" a="1"/>
  <c r="N25" i="2" s="1"/>
  <c r="G25" i="2"/>
  <c r="P24" i="2" a="1"/>
  <c r="P24" i="2" s="1"/>
  <c r="O24" i="2" a="1"/>
  <c r="O24" i="2" s="1"/>
  <c r="N24" i="2" a="1"/>
  <c r="N24" i="2" s="1"/>
  <c r="G24" i="2"/>
  <c r="P23" i="2" a="1"/>
  <c r="P23" i="2" s="1"/>
  <c r="O23" i="2" a="1"/>
  <c r="O23" i="2" s="1"/>
  <c r="N23" i="2" a="1"/>
  <c r="N23" i="2" s="1"/>
  <c r="G23" i="2"/>
  <c r="P22" i="2" a="1"/>
  <c r="P22" i="2" s="1"/>
  <c r="O22" i="2" a="1"/>
  <c r="O22" i="2" s="1"/>
  <c r="N22" i="2" a="1"/>
  <c r="N22" i="2" s="1"/>
  <c r="G22" i="2"/>
  <c r="P21" i="2" a="1"/>
  <c r="P21" i="2" s="1"/>
  <c r="O21" i="2" a="1"/>
  <c r="O21" i="2" s="1"/>
  <c r="N21" i="2" a="1"/>
  <c r="N21" i="2" s="1"/>
  <c r="G21" i="2"/>
  <c r="P20" i="2" a="1"/>
  <c r="P20" i="2" s="1"/>
  <c r="O20" i="2" a="1"/>
  <c r="O20" i="2" s="1"/>
  <c r="N20" i="2" a="1"/>
  <c r="N20" i="2" s="1"/>
  <c r="G20" i="2"/>
  <c r="P19" i="2" a="1"/>
  <c r="P19" i="2" s="1"/>
  <c r="O19" i="2" a="1"/>
  <c r="O19" i="2" s="1"/>
  <c r="N19" i="2" a="1"/>
  <c r="N19" i="2" s="1"/>
  <c r="G19" i="2"/>
  <c r="P18" i="2" a="1"/>
  <c r="P18" i="2" s="1"/>
  <c r="O18" i="2" a="1"/>
  <c r="O18" i="2" s="1"/>
  <c r="N18" i="2" a="1"/>
  <c r="N18" i="2" s="1"/>
  <c r="G18" i="2"/>
  <c r="P17" i="2" a="1"/>
  <c r="P17" i="2" s="1"/>
  <c r="O17" i="2" a="1"/>
  <c r="O17" i="2" s="1"/>
  <c r="N17" i="2" a="1"/>
  <c r="N17" i="2" s="1"/>
  <c r="G17" i="2"/>
  <c r="P16" i="2" a="1"/>
  <c r="P16" i="2" s="1"/>
  <c r="O16" i="2" a="1"/>
  <c r="O16" i="2" s="1"/>
  <c r="N16" i="2" a="1"/>
  <c r="N16" i="2" s="1"/>
  <c r="G16" i="2"/>
  <c r="P15" i="2" a="1"/>
  <c r="P15" i="2" s="1"/>
  <c r="O15" i="2" a="1"/>
  <c r="O15" i="2" s="1"/>
  <c r="N15" i="2" a="1"/>
  <c r="N15" i="2" s="1"/>
  <c r="G15" i="2"/>
  <c r="P14" i="2" a="1"/>
  <c r="P14" i="2" s="1"/>
  <c r="O14" i="2" a="1"/>
  <c r="O14" i="2" s="1"/>
  <c r="N14" i="2" a="1"/>
  <c r="N14" i="2" s="1"/>
  <c r="G14" i="2"/>
  <c r="P13" i="2" a="1"/>
  <c r="P13" i="2" s="1"/>
  <c r="O13" i="2" a="1"/>
  <c r="O13" i="2" s="1"/>
  <c r="N13" i="2" a="1"/>
  <c r="N13" i="2" s="1"/>
  <c r="G13" i="2"/>
  <c r="P12" i="2" a="1"/>
  <c r="P12" i="2" s="1"/>
  <c r="O12" i="2" a="1"/>
  <c r="O12" i="2" s="1"/>
  <c r="N12" i="2" a="1"/>
  <c r="N12" i="2" s="1"/>
  <c r="G12" i="2"/>
  <c r="P11" i="2" a="1"/>
  <c r="P11" i="2" s="1"/>
  <c r="O11" i="2" a="1"/>
  <c r="O11" i="2" s="1"/>
  <c r="N11" i="2" a="1"/>
  <c r="N11" i="2" s="1"/>
  <c r="G11" i="2"/>
  <c r="P10" i="2" a="1"/>
  <c r="P10" i="2" s="1"/>
  <c r="O10" i="2" a="1"/>
  <c r="O10" i="2" s="1"/>
  <c r="N10" i="2" a="1"/>
  <c r="N10" i="2" s="1"/>
  <c r="G10" i="2"/>
  <c r="P9" i="2" a="1"/>
  <c r="P9" i="2" s="1"/>
  <c r="O9" i="2" a="1"/>
  <c r="O9" i="2" s="1"/>
  <c r="N9" i="2" a="1"/>
  <c r="N9" i="2" s="1"/>
  <c r="G9" i="2"/>
  <c r="P8" i="2" a="1"/>
  <c r="P8" i="2" s="1"/>
  <c r="O8" i="2" a="1"/>
  <c r="O8" i="2" s="1"/>
  <c r="N8" i="2" a="1"/>
  <c r="N8" i="2" s="1"/>
  <c r="G8" i="2"/>
  <c r="P7" i="2" a="1"/>
  <c r="P7" i="2" s="1"/>
  <c r="O7" i="2" a="1"/>
  <c r="O7" i="2" s="1"/>
  <c r="N7" i="2" a="1"/>
  <c r="N7" i="2" s="1"/>
  <c r="G7" i="2"/>
  <c r="P6" i="2" a="1"/>
  <c r="P6" i="2" s="1"/>
  <c r="O6" i="2" a="1"/>
  <c r="O6" i="2" s="1"/>
  <c r="N6" i="2" a="1"/>
  <c r="N6" i="2" s="1"/>
  <c r="G6" i="2"/>
  <c r="P5" i="2" a="1"/>
  <c r="P5" i="2" s="1"/>
  <c r="O5" i="2" a="1"/>
  <c r="O5" i="2" s="1"/>
  <c r="N5" i="2" a="1"/>
  <c r="N5" i="2" s="1"/>
  <c r="G5" i="2"/>
  <c r="P4" i="2" a="1"/>
  <c r="P4" i="2" s="1"/>
  <c r="O4" i="2" a="1"/>
  <c r="O4" i="2" s="1"/>
  <c r="N4" i="2" a="1"/>
  <c r="N4" i="2" s="1"/>
  <c r="G4" i="2"/>
  <c r="P3" i="2" a="1"/>
  <c r="P3" i="2" s="1"/>
  <c r="O3" i="2" a="1"/>
  <c r="O3" i="2" s="1"/>
  <c r="N3" i="2" a="1"/>
  <c r="N3" i="2" s="1"/>
  <c r="G3" i="2"/>
  <c r="G4" i="1"/>
  <c r="F4" i="1"/>
  <c r="E4" i="1" a="1"/>
  <c r="E4" i="1" s="1"/>
  <c r="D4" i="1" a="1"/>
  <c r="D4" i="1" s="1"/>
  <c r="U7" i="2" s="1" a="1"/>
  <c r="U7" i="2" s="1"/>
  <c r="U8" i="2" l="1" a="1"/>
  <c r="U8" i="2" s="1"/>
  <c r="D62" i="2"/>
  <c r="D67" i="2"/>
  <c r="D68" i="2" s="1"/>
  <c r="U21" i="2" l="1" a="1"/>
  <c r="U21" i="2" s="1"/>
  <c r="U20" i="2" a="1"/>
  <c r="U20" i="2" s="1"/>
  <c r="U12" i="2" a="1"/>
  <c r="U12" i="2" s="1"/>
  <c r="U4" i="2" a="1"/>
  <c r="U4" i="2" s="1"/>
  <c r="U11" i="2" a="1"/>
  <c r="U11" i="2" s="1"/>
  <c r="U5" i="2" a="1"/>
  <c r="U5" i="2" s="1"/>
  <c r="U19" i="2" a="1"/>
  <c r="U19" i="2" s="1"/>
  <c r="U3" i="2" a="1"/>
  <c r="U3" i="2" s="1"/>
  <c r="U18" i="2" a="1"/>
  <c r="U18" i="2" s="1"/>
  <c r="U10" i="2" a="1"/>
  <c r="U10" i="2" s="1"/>
  <c r="U14" i="2" a="1"/>
  <c r="U14" i="2" s="1"/>
  <c r="U17" i="2" a="1"/>
  <c r="U17" i="2" s="1"/>
  <c r="U9" i="2" a="1"/>
  <c r="U9" i="2" s="1"/>
  <c r="U6" i="2" a="1"/>
  <c r="U6" i="2" s="1"/>
  <c r="U16" i="2" a="1"/>
  <c r="U16" i="2" s="1"/>
  <c r="U13" i="2" a="1"/>
  <c r="U13" i="2" s="1"/>
  <c r="U15" i="2" a="1"/>
  <c r="U15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AB44F785-4B84-4FAD-A4B4-1DCB8DC9424D}" keepAlive="1" name="Query - RemoveList" description="Connection to the 'RemoveList' query in the workbook." type="5" refreshedVersion="0" background="1">
    <dbPr connection="Provider=Microsoft.Mashup.OleDb.1;Data Source=$Workbook$;Location=RemoveList;Extended Properties=&quot;&quot;" command="SELECT * FROM [RemoveList]"/>
  </connection>
  <connection id="3" xr16:uid="{00CEE8C7-44FA-44BD-B4B6-154F785C4D1A}" keepAlive="1" name="Query - xlIndex" description="Connection to the 'xlIndex' query in the workbook." type="5" refreshedVersion="0" background="1">
    <dbPr connection="Provider=Microsoft.Mashup.OleDb.1;Data Source=$Workbook$;Location=xlIndex;Extended Properties=&quot;&quot;" command="SELECT * FROM [xlIndex]"/>
  </connection>
  <connection id="4" xr16:uid="{23A1772A-C359-4E1B-A2FC-E134DC8F6F02}" keepAlive="1" name="Query - xlIndex2" description="Connection to the 'xlIndex2' query in the workbook." type="5" refreshedVersion="0" background="1">
    <dbPr connection="Provider=Microsoft.Mashup.OleDb.1;Data Source=$Workbook$;Location=xlIndex2;Extended Properties=&quot;&quot;" command="SELECT * FROM [xlIndex2]"/>
  </connection>
  <connection id="5" xr16:uid="{74E44E88-CF37-4C47-B4E5-0E3BB10A1FB2}" keepAlive="1" name="Query - xlIndex3" description="Connection to the 'xlIndex3' query in the workbook." type="5" refreshedVersion="0" background="1">
    <dbPr connection="Provider=Microsoft.Mashup.OleDb.1;Data Source=$Workbook$;Location=xlIndex3;Extended Properties=&quot;&quot;" command="SELECT * FROM [xlIndex3]"/>
  </connection>
  <connection id="6" xr16:uid="{C97DA11E-3353-42A9-BED1-B95911755426}" keepAlive="1" name="Query - xlName" description="Connection to the 'xlName' query in the workbook." type="5" refreshedVersion="0" background="1">
    <dbPr connection="Provider=Microsoft.Mashup.OleDb.1;Data Source=$Workbook$;Location=xlName;Extended Properties=&quot;&quot;" command="SELECT * FROM [xlName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<sst xmlns="http://schemas.openxmlformats.org/spreadsheetml/2006/main" count="497" uniqueCount="235">
  <si>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</si>
  <si>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</si>
  <si>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</si>
  <si>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</si>
  <si>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</si>
  <si>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</si>
  <si>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</si>
  <si>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</si>
  <si>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</si>
  <si>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</si>
  <si>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</si>
  <si>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</si>
  <si>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</si>
  <si>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</si>
  <si>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</si>
  <si>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</si>
  <si>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</si>
  <si>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</si>
  <si>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</si>
  <si>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</si>
  <si>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</si>
  <si>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</si>
  <si>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</si>
  <si>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</si>
  <si>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</si>
  <si>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</si>
  <si>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</si>
  <si>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</si>
  <si>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</si>
  <si>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</si>
  <si>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</si>
  <si>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</si>
  <si>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</si>
  <si>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</si>
  <si>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</si>
  <si>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</si>
  <si>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</si>
  <si>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</si>
  <si>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</si>
  <si>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</si>
  <si>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</si>
  <si>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</si>
  <si>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</si>
  <si>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</si>
  <si>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</si>
  <si>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</si>
  <si>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</si>
  <si>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</si>
  <si>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</si>
  <si>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</si>
  <si>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</si>
  <si>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</si>
  <si>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</si>
  <si>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</si>
  <si>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</si>
  <si>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</si>
  <si>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</si>
  <si>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</si>
  <si>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</si>
  <si>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</si>
  <si>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</si>
  <si>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</si>
  <si>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</si>
  <si>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</si>
  <si>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</si>
  <si>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</si>
  <si>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</si>
  <si>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</si>
  <si>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</si>
  <si>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</si>
  <si>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</si>
  <si>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</si>
  <si>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</si>
  <si>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</si>
  <si>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</si>
  <si>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</si>
  <si>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</si>
  <si>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</si>
  <si>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</si>
  <si>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</si>
  <si>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</si>
  <si>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</si>
  <si>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</si>
  <si>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</si>
  <si>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</si>
  <si>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</si>
  <si>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</si>
  <si>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</si>
  <si>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</si>
  <si>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</si>
  <si>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</si>
  <si>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</si>
  <si>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</si>
  <si>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</si>
  <si>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</si>
  <si>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</si>
  <si>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</si>
  <si>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</si>
  <si>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</si>
  <si>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</si>
  <si>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</si>
  <si>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</si>
  <si>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</si>
  <si>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</si>
  <si>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</si>
  <si>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</si>
  <si>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</si>
  <si>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</si>
  <si>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</si>
  <si>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</si>
  <si>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</si>
  <si>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</si>
  <si>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</si>
  <si>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</si>
  <si>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</si>
  <si>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</si>
  <si>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</si>
  <si>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</si>
  <si>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</si>
  <si>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</si>
  <si>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</si>
  <si>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</si>
  <si>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</si>
  <si>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</si>
  <si>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</si>
  <si>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</si>
  <si>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</si>
  <si>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</si>
  <si>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</si>
  <si>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</si>
  <si>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</si>
  <si>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</si>
  <si>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</si>
  <si>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</si>
  <si>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</si>
  <si>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</si>
  <si>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</si>
  <si>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</si>
  <si>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</si>
  <si>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</si>
  <si>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</si>
  <si>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</si>
  <si>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</si>
  <si>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</si>
  <si>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</si>
  <si>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</si>
  <si>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</si>
  <si>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</si>
  <si>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</si>
  <si>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</si>
  <si>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</si>
  <si>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</si>
  <si>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</si>
  <si>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</si>
  <si>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</si>
  <si>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</si>
  <si>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</si>
  <si>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</si>
  <si>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</si>
  <si>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</si>
  <si>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</si>
  <si>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</si>
  <si>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</si>
  <si>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</si>
  <si>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</si>
  <si>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</si>
  <si>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</si>
  <si>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</si>
  <si>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</si>
  <si>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</si>
  <si>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</si>
  <si>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</si>
  <si>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</si>
  <si>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</si>
  <si>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</si>
  <si>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</si>
  <si>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</si>
  <si>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</si>
  <si>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</si>
  <si>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</si>
  <si>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</si>
  <si>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</si>
  <si>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</si>
  <si>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</si>
  <si>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</si>
  <si>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</si>
  <si>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</si>
  <si>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</si>
  <si>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</si>
  <si>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</si>
  <si>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</si>
  <si>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</si>
  <si>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</si>
  <si>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</si>
  <si>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</si>
  <si>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</si>
  <si>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</si>
  <si>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</si>
  <si>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</si>
  <si>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</si>
  <si>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</si>
  <si>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</si>
  <si>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</si>
  <si>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</si>
  <si>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</si>
  <si>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</si>
  <si>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</si>
  <si>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</si>
  <si>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</si>
  <si>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OCRB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</si>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</sst>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4" tint="-0.499984740745262"/>
      <name val="OCRB"/>
      <family val="3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3"/>
      <name val="OCRB"/>
      <family val="3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sz val="11"/>
      <color theme="1"/>
      <name val="OCRB"/>
      <family val="3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2"/>
      <color rgb="FF000000"/>
      <name val="Bahnschrift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29" fillId="49" borderId="10" applyNumberFormat="0" applyProtection="0">
      <alignment horizontal="center" vertical="center"/>
    </xf>
    <xf numFmtId="0" fontId="30" fillId="50" borderId="10" applyNumberFormat="0" applyAlignment="0"/>
    <xf numFmtId="49" fontId="31" fillId="51" borderId="10" applyNumberFormat="0" applyAlignment="0"/>
    <xf numFmtId="49" fontId="31" fillId="52" borderId="10" applyNumberFormat="0" applyAlignment="0"/>
    <xf numFmtId="0" fontId="30" fillId="53" borderId="10" applyNumberFormat="0" applyAlignment="0"/>
    <xf numFmtId="0" fontId="32" fillId="54" borderId="10" applyNumberFormat="0" applyAlignment="0"/>
    <xf numFmtId="0" fontId="33" fillId="55" borderId="10" applyNumberFormat="0" applyAlignment="0"/>
    <xf numFmtId="0" fontId="34" fillId="51" borderId="10" applyNumberFormat="0" applyAlignment="0"/>
    <xf numFmtId="49" fontId="33" fillId="56" borderId="10" applyNumberFormat="0" applyAlignment="0"/>
    <xf numFmtId="0" fontId="21" fillId="57" borderId="10" applyNumberFormat="0" applyAlignment="0"/>
    <xf numFmtId="0" fontId="35" fillId="58" borderId="10" applyNumberFormat="0" applyAlignment="0"/>
    <xf numFmtId="49" fontId="35" fillId="59" borderId="10" applyNumberFormat="0" applyAlignment="0"/>
    <xf numFmtId="0" fontId="21" fillId="60" borderId="10" applyNumberFormat="0" applyAlignment="0"/>
    <xf numFmtId="0" fontId="36" fillId="61" borderId="10" applyNumberFormat="0" applyAlignment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4" fontId="36" fillId="63" borderId="10" applyNumberFormat="0" applyAlignment="0">
      <protection locked="0"/>
    </xf>
    <xf numFmtId="49" fontId="39" fillId="64" borderId="10" applyNumberFormat="0" applyAlignment="0"/>
    <xf numFmtId="49" fontId="39" fillId="65" borderId="10" applyNumberFormat="0" applyAlignment="0"/>
    <xf numFmtId="0" fontId="21" fillId="66" borderId="10" applyNumberFormat="0" applyAlignment="0">
      <protection locked="0"/>
    </xf>
    <xf numFmtId="0" fontId="36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40" fillId="67" borderId="10" applyNumberFormat="0" applyAlignment="0"/>
    <xf numFmtId="49" fontId="40" fillId="38" borderId="10" applyNumberFormat="0" applyAlignment="0"/>
    <xf numFmtId="0" fontId="21" fillId="39" borderId="10" applyNumberFormat="0" applyAlignment="0"/>
    <xf numFmtId="0" fontId="36" fillId="68" borderId="10" applyNumberFormat="0" applyAlignment="0"/>
    <xf numFmtId="0" fontId="21" fillId="69" borderId="10" applyNumberFormat="0" applyAlignment="0"/>
    <xf numFmtId="164" fontId="36" fillId="70" borderId="10" applyNumberFormat="0" applyAlignment="0">
      <alignment horizontal="left"/>
    </xf>
    <xf numFmtId="49" fontId="20" fillId="71" borderId="10" applyNumberFormat="0" applyAlignment="0"/>
    <xf numFmtId="0" fontId="36" fillId="70" borderId="10" applyNumberFormat="0" applyAlignment="0">
      <alignment horizontal="left"/>
    </xf>
    <xf numFmtId="0" fontId="21" fillId="72" borderId="10" applyNumberFormat="0" applyAlignment="0"/>
    <xf numFmtId="49" fontId="41" fillId="73" borderId="10" applyNumberFormat="0" applyAlignment="0"/>
    <xf numFmtId="49" fontId="41" fillId="74" borderId="10" applyNumberFormat="0" applyAlignment="0"/>
    <xf numFmtId="0" fontId="21" fillId="75" borderId="10" applyNumberFormat="0" applyAlignment="0"/>
    <xf numFmtId="0" fontId="36" fillId="76" borderId="10" applyNumberFormat="0" applyAlignment="0"/>
    <xf numFmtId="0" fontId="42" fillId="77" borderId="10" applyNumberFormat="0" applyFill="0" applyBorder="0" applyAlignment="0" applyProtection="0"/>
    <xf numFmtId="0" fontId="36" fillId="77" borderId="1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0" fontId="21" fillId="37" borderId="10" xfId="51" applyAlignment="1">
      <alignment horizontal="center"/>
    </xf>
    <xf numFmtId="49" fontId="17" fillId="33" borderId="17" xfId="47" applyBorder="1">
      <alignment horizontal="center" vertical="center"/>
    </xf>
    <xf numFmtId="49" fontId="31" fillId="52" borderId="10" xfId="64"/>
    <xf numFmtId="0" fontId="30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32" fillId="54" borderId="13" xfId="66" applyBorder="1" applyAlignment="1">
      <alignment horizontal="left"/>
    </xf>
    <xf numFmtId="0" fontId="32" fillId="54" borderId="10" xfId="66" applyAlignment="1">
      <alignment horizontal="left"/>
    </xf>
    <xf numFmtId="0" fontId="32" fillId="54" borderId="10" xfId="66" applyAlignment="1">
      <alignment horizontal="center"/>
    </xf>
    <xf numFmtId="49" fontId="31" fillId="51" borderId="10" xfId="63"/>
    <xf numFmtId="0" fontId="32" fillId="54" borderId="10" xfId="66"/>
    <xf numFmtId="0" fontId="30" fillId="53" borderId="10" xfId="65"/>
    <xf numFmtId="0" fontId="30" fillId="50" borderId="10" xfId="62" applyNumberFormat="1"/>
    <xf numFmtId="0" fontId="0" fillId="0" borderId="20" xfId="0" applyBorder="1"/>
    <xf numFmtId="0" fontId="30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32" fillId="54" borderId="24" xfId="66" applyBorder="1" applyAlignment="1">
      <alignment horizontal="left"/>
    </xf>
    <xf numFmtId="0" fontId="32" fillId="54" borderId="25" xfId="66" applyBorder="1" applyAlignment="1">
      <alignment horizontal="left"/>
    </xf>
    <xf numFmtId="0" fontId="32" fillId="54" borderId="25" xfId="66" applyBorder="1"/>
    <xf numFmtId="49" fontId="33" fillId="56" borderId="10" xfId="69"/>
    <xf numFmtId="0" fontId="30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2" fillId="54" borderId="30" xfId="66" applyBorder="1" applyAlignment="1">
      <alignment horizontal="left"/>
    </xf>
    <xf numFmtId="0" fontId="32" fillId="54" borderId="26" xfId="66" applyBorder="1" applyAlignment="1">
      <alignment horizontal="left"/>
    </xf>
    <xf numFmtId="0" fontId="32" fillId="54" borderId="26" xfId="66" applyBorder="1"/>
    <xf numFmtId="0" fontId="34" fillId="51" borderId="10" xfId="68"/>
    <xf numFmtId="0" fontId="33" fillId="55" borderId="10" xfId="67"/>
    <xf numFmtId="0" fontId="23" fillId="42" borderId="10" xfId="53"/>
    <xf numFmtId="49" fontId="43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49" fontId="19" fillId="35" borderId="10" xfId="49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29" fillId="49" borderId="10" xfId="61" applyNumberFormat="1" applyAlignment="1">
      <alignment horizontal="left" vertical="center"/>
    </xf>
    <xf numFmtId="0" fontId="29" fillId="49" borderId="10" xfId="61" applyAlignment="1"/>
    <xf numFmtId="0" fontId="28" fillId="47" borderId="10" xfId="58" applyAlignment="1">
      <alignment horizontal="left"/>
    </xf>
    <xf numFmtId="0" fontId="28" fillId="47" borderId="10" xfId="58" applyAlignment="1">
      <alignment horizontal="left" vertical="center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32" fillId="54" borderId="24" xfId="66" applyNumberFormat="1" applyBorder="1" applyAlignment="1">
      <alignment horizontal="left"/>
    </xf>
    <xf numFmtId="49" fontId="39" fillId="65" borderId="10" xfId="80"/>
    <xf numFmtId="49" fontId="39" fillId="64" borderId="10" xfId="79"/>
    <xf numFmtId="0" fontId="21" fillId="66" borderId="10" xfId="81">
      <protection locked="0"/>
    </xf>
    <xf numFmtId="164" fontId="36" fillId="63" borderId="10" xfId="78" applyAlignment="1">
      <protection locked="0"/>
    </xf>
    <xf numFmtId="0" fontId="36" fillId="63" borderId="10" xfId="82" applyNumberFormat="1" applyAlignment="1">
      <alignment horizontal="left"/>
      <protection locked="0"/>
    </xf>
    <xf numFmtId="0" fontId="36" fillId="63" borderId="10" xfId="82" applyAlignment="1">
      <protection locked="0"/>
    </xf>
    <xf numFmtId="0" fontId="21" fillId="62" borderId="10" xfId="77" applyNumberFormat="1">
      <protection locked="0"/>
    </xf>
    <xf numFmtId="0" fontId="21" fillId="62" borderId="10" xfId="77">
      <protection locked="0"/>
    </xf>
    <xf numFmtId="0" fontId="27" fillId="46" borderId="10" xfId="57">
      <protection locked="0"/>
    </xf>
    <xf numFmtId="49" fontId="35" fillId="59" borderId="10" xfId="72"/>
    <xf numFmtId="0" fontId="35" fillId="58" borderId="10" xfId="71"/>
    <xf numFmtId="0" fontId="21" fillId="60" borderId="10" xfId="73"/>
    <xf numFmtId="0" fontId="36" fillId="0" borderId="18" xfId="98" applyFill="1" applyBorder="1" applyAlignment="1">
      <alignment horizontal="center"/>
    </xf>
    <xf numFmtId="0" fontId="36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4" fontId="36" fillId="70" borderId="10" xfId="89" applyAlignment="1"/>
    <xf numFmtId="0" fontId="36" fillId="70" borderId="10" xfId="91" applyNumberFormat="1" applyAlignment="1">
      <alignment horizontal="left"/>
    </xf>
    <xf numFmtId="0" fontId="36" fillId="70" borderId="10" xfId="91" applyAlignment="1"/>
    <xf numFmtId="0" fontId="21" fillId="69" borderId="10" xfId="88" applyNumberFormat="1"/>
    <xf numFmtId="0" fontId="21" fillId="69" borderId="10" xfId="88"/>
    <xf numFmtId="0" fontId="25" fillId="44" borderId="10" xfId="55">
      <protection locked="0"/>
    </xf>
    <xf numFmtId="49" fontId="41" fillId="74" borderId="10" xfId="94"/>
    <xf numFmtId="49" fontId="41" fillId="73" borderId="10" xfId="93"/>
    <xf numFmtId="0" fontId="21" fillId="75" borderId="10" xfId="95"/>
    <xf numFmtId="0" fontId="36" fillId="76" borderId="10" xfId="96"/>
    <xf numFmtId="0" fontId="21" fillId="72" borderId="10" xfId="92"/>
    <xf numFmtId="0" fontId="26" fillId="45" borderId="10" xfId="56"/>
    <xf numFmtId="49" fontId="40" fillId="38" borderId="10" xfId="85"/>
    <xf numFmtId="49" fontId="40" fillId="67" borderId="10" xfId="84"/>
    <xf numFmtId="0" fontId="21" fillId="39" borderId="10" xfId="86"/>
    <xf numFmtId="0" fontId="36" fillId="68" borderId="10" xfId="87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2" fillId="79" borderId="10" xfId="97" applyFill="1" applyBorder="1" applyAlignment="1">
      <alignment horizontal="center"/>
    </xf>
    <xf numFmtId="0" fontId="36" fillId="80" borderId="0" xfId="98" applyFill="1" applyBorder="1" applyAlignment="1">
      <alignment horizontal="center"/>
    </xf>
    <xf numFmtId="0" fontId="38" fillId="40" borderId="17" xfId="76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42" fillId="62" borderId="17" xfId="97" applyFill="1" applyBorder="1" applyAlignment="1">
      <alignment horizontal="center"/>
    </xf>
    <xf numFmtId="0" fontId="36" fillId="47" borderId="17" xfId="98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42" fillId="62" borderId="36" xfId="97" applyFill="1" applyBorder="1" applyAlignment="1">
      <alignment horizontal="center"/>
    </xf>
    <xf numFmtId="0" fontId="36" fillId="47" borderId="36" xfId="98" applyFill="1" applyBorder="1" applyAlignment="1">
      <alignment horizontal="center"/>
    </xf>
    <xf numFmtId="0" fontId="37" fillId="69" borderId="17" xfId="75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42" fillId="62" borderId="26" xfId="97" applyFill="1" applyBorder="1" applyAlignment="1">
      <alignment horizontal="center"/>
    </xf>
    <xf numFmtId="0" fontId="36" fillId="47" borderId="26" xfId="98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1" fillId="51" borderId="10" xfId="63" applyNumberFormat="1"/>
    <xf numFmtId="9" fontId="32" fillId="54" borderId="10" xfId="66" applyNumberFormat="1" applyAlignment="1">
      <alignment horizontal="center"/>
    </xf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</cellXfs>
  <cellStyles count="99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customBuiltin="1"/>
    <cellStyle name="CalcVal" xfId="66" xr:uid="{85019704-284F-44DD-B33D-936FBF820B0B}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customBuiltin="1"/>
    <cellStyle name="Followed Hyperlink" xfId="75" builtinId="9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76" builtinId="8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customBuiltin="1"/>
    <cellStyle name="Total" xfId="22" builtinId="25" customBuiltin="1"/>
    <cellStyle name="Warning Text" xfId="19" builtinId="11" customBuiltin="1"/>
    <cellStyle name="xCond" xfId="97" xr:uid="{945CC640-228C-4E21-9CCE-191C0F0431F3}"/>
    <cellStyle name="xMono" xfId="98" xr:uid="{8625505F-E274-4855-90A5-FFF71C0EFD01}"/>
  </cellStyles>
  <dxfs count="12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7999816888943144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TableStyleMedium2" defaultPivotStyle="PivotStyleLight16">
    <tableStyle name="BoxTable" pivot="0" count="7" xr9:uid="{A825FDD6-0344-402A-BB72-733CECCCCC4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HeaderCell" dxfId="114"/>
      <tableStyleElement type="firstTotalCell" dxfId="113"/>
    </tableStyle>
    <tableStyle name="CalculatedTable" pivot="0" count="7" xr9:uid="{2B9716CA-B174-45F3-AE10-F3E50D0CDD94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50241DDC-9BFD-4907-A3C5-ABBF88ABD84E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9617E59F-5DF0-47AF-83C4-A84A9808487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9A63A350-72BA-49B9-801B-3C3B44C3E076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LookupTable" pivot="0" count="7" xr9:uid="{D3586F5E-ABCB-4F16-BB44-E3580B59E066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7DC53262-A055-4B56-B573-515E8A82B02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2">
  <tableColumns count="16">
    <tableColumn id="1" xr3:uid="{76068DAB-DC13-445B-857C-6BDE6792A5EF}" name="Cell Name" totalsRowLabel="Total" dataDxfId="61"/>
    <tableColumn id="10" xr3:uid="{7F57117A-3BC3-4A81-9ED4-DF1879D74C06}" name="StyleName" dataDxfId="60"/>
    <tableColumn id="2" xr3:uid="{6D1D03BF-9E42-48E5-9D14-FCB08690EA7A}" name="Where Used" totalsRowDxfId="59"/>
    <tableColumn id="3" xr3:uid="{104032BF-985A-457B-B832-4433AB3EDBFC}" name="Typing Notes" totalsRowDxfId="58"/>
    <tableColumn id="4" xr3:uid="{DB8BFC11-B0D1-4846-A39C-C054A1119787}" name="Warnings" totalsRowDxfId="57"/>
    <tableColumn id="8" xr3:uid="{57BF9228-3F09-4079-ACFD-F5692E34A4C3}" name="Fmt Notes" totalsRowFunction="count" totalsRowDxfId="56"/>
    <tableColumn id="9" xr3:uid="{52CAA38C-101F-4454-9B7A-AEE3ED3DF879}" name="Font" dataDxfId="55" totalsRowDxfId="54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8CE7029C-941E-490F-8AF7-A660807E5881}" name="Fnt" dataDxfId="53" totalsRowDxfId="52"/>
    <tableColumn id="11" xr3:uid="{97705706-DD43-48D7-A714-6942BBA1BD45}" name="Base" dataDxfId="51" totalsRowDxfId="50"/>
    <tableColumn id="16" xr3:uid="{91C91811-BF5C-47BF-9544-301F1AD32EC9}" name="Pat" dataDxfId="49" totalsRowDxfId="48"/>
    <tableColumn id="13" xr3:uid="{9026655B-F047-4B16-9D83-46C4D12683B8}" name="BOv" dataDxfId="47" totalsRowDxfId="46"/>
    <tableColumn id="14" xr3:uid="{97D396DA-77C8-4EF1-ABB7-86BAAB20B0F4}" name="FOv" dataDxfId="45" totalsRowDxfId="44"/>
    <tableColumn id="15" xr3:uid="{D93B4D51-6EE6-4973-81E1-FBBFBCC42DFF}" name="POv" dataDxfId="43" totalsRowDxfId="42"/>
    <tableColumn id="5" xr3:uid="{3B9668E6-624A-46E5-B3D2-FFFE00082FEB}" name="BgClr" dataDxfId="41" totalsRowDxfId="4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39" totalsRowDxfId="3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7" totalsRowDxfId="3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5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4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3" dataDxfId="32" tableBorderDxfId="31">
  <tableColumns count="1">
    <tableColumn id="1" xr3:uid="{EBEEB104-485E-4066-A89C-BF60264C502F}" name="UseCol3" dataDxfId="30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29">
      <totalsRowFormula>COUNTIF(IntSampleTable[Internal2],"")    &amp;     " Blank Cells"</totalsRowFormula>
    </tableColumn>
    <tableColumn id="3" xr3:uid="{F2CB2A44-808C-49EA-9140-07BAA4A60FA4}" name="CalcColumn3" totalsRowFunction="custom" dataDxfId="28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7" dataDxfId="26" tableBorderDxfId="25">
  <tableColumns count="1">
    <tableColumn id="1" xr3:uid="{05176BC8-1854-4480-8FA0-241B7288A519}" name="Bool" dataDxfId="24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3" dataDxfId="22" tableBorderDxfId="21" headerRowCellStyle="LkpHdKey" dataCellStyle="LkpKey">
  <tableColumns count="2">
    <tableColumn id="1" xr3:uid="{21F6AF6E-BC39-4E4D-96F8-2A8030E0361E}" name="Y" dataDxfId="20" dataCellStyle="LkpKey">
      <calculatedColumnFormula array="1">OFFSET( BoolName, 0, 0, 1, 1)</calculatedColumnFormula>
    </tableColumn>
    <tableColumn id="3" xr3:uid="{83460445-1457-46BA-8264-4B62AABBEE2F}" name="N" dataDxfId="19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18" dataDxfId="17">
  <tableColumns count="1">
    <tableColumn id="1" xr3:uid="{056DB949-FD13-418A-817A-1D37D854EEA2}" name="LNF" dataDxfId="16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5" dataDxfId="14">
  <tableColumns count="1">
    <tableColumn id="1" xr3:uid="{81DCCB68-E122-4508-B003-CA2A07871428}" name="YN" dataDxfId="13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2" dataDxfId="11" tableBorderDxfId="10" headerRowCellStyle="LkpHdKey" dataCellStyle="LkpKey">
  <tableColumns count="2">
    <tableColumn id="1" xr3:uid="{EA30E58B-0A29-4559-8833-A0D5373F57BC}" name="Y" dataDxfId="9" dataCellStyle="LkpKey">
      <calculatedColumnFormula>OFFSET( YNTable[], 0, 0, 1, 1)</calculatedColumnFormula>
    </tableColumn>
    <tableColumn id="2" xr3:uid="{1694A841-EFD0-42A1-8F8C-C4FF2FAB0707}" name="N" dataDxfId="8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7" tableBorderDxfId="6">
  <tableColumns count="6">
    <tableColumn id="1" xr3:uid="{CE43395E-509B-4D9B-AEE6-3E667D174062}" name="Cell Title" dataDxfId="5"/>
    <tableColumn id="2" xr3:uid="{9B26D6EC-FDDF-4E71-A9C2-E86D018A2279}" name="Headers" dataDxfId="4"/>
    <tableColumn id="3" xr3:uid="{41F1A380-C2EE-499E-A8EB-894C73458495}" name="Cells" dataDxfId="3"/>
    <tableColumn id="4" xr3:uid="{03A9D671-23FC-45D7-AC5C-C176DD7C948D}" name="Sets Font" dataDxfId="2"/>
    <tableColumn id="5" xr3:uid="{9EA5D9D6-4C7D-4C49-9EC4-7320D66375FD}" name="Sets Fmt" dataDxfId="1"/>
    <tableColumn id="6" xr3:uid="{9BD9619D-860D-40AA-91FB-3F17BD285B88}" name="ChgNorm" dataDxfId="0"/>
  </tableColumns>
  <tableStyleInfo name="InternalTable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opLeftCell="P1" zoomScaleNormal="100" workbookViewId="0">
      <selection activeCell="U7" sqref="U7"/>
    </sheetView>
  </sheetViews>
  <sheetFormatPr defaultRowHeight="14.25" x14ac:dyDescent="0.2"/>
  <cols>
    <col min="1" max="1" width="20.44140625" bestFit="1" customWidth="1"/>
    <col min="2" max="2" width="12.5546875" bestFit="1" customWidth="1"/>
    <col min="3" max="3" width="24.77734375" bestFit="1" customWidth="1"/>
    <col min="4" max="4" width="17.5546875" bestFit="1" customWidth="1"/>
    <col min="5" max="5" width="34.21875" bestFit="1" customWidth="1"/>
    <col min="6" max="6" width="21.33203125" bestFit="1" customWidth="1"/>
    <col min="7" max="7" width="9.5546875" bestFit="1" customWidth="1"/>
    <col min="8" max="8" width="3.33203125" bestFit="1" customWidth="1"/>
    <col min="9" max="9" width="4.77734375" bestFit="1" customWidth="1"/>
    <col min="10" max="10" width="3.44140625" bestFit="1" customWidth="1"/>
    <col min="11" max="11" width="4.109375" bestFit="1" customWidth="1"/>
    <col min="12" max="12" width="3.88671875" bestFit="1" customWidth="1"/>
    <col min="13" max="13" width="4" bestFit="1" customWidth="1"/>
    <col min="14" max="16" width="6" bestFit="1" customWidth="1"/>
    <col min="18" max="18" width="7.109375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3" ht="19.5" x14ac:dyDescent="0.2">
      <c r="A1" s="112" t="s">
        <v>18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R1" s="112" t="s">
        <v>19</v>
      </c>
      <c r="S1" s="112"/>
      <c r="T1" s="112"/>
      <c r="U1" s="112"/>
      <c r="W1" s="4" t="s">
        <v>20</v>
      </c>
    </row>
    <row r="2" spans="1:23" x14ac:dyDescent="0.2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36</v>
      </c>
      <c r="R2" t="s">
        <v>37</v>
      </c>
      <c r="S2" t="s">
        <v>38</v>
      </c>
      <c r="T2" t="s">
        <v>39</v>
      </c>
      <c r="U2" t="s">
        <v>40</v>
      </c>
      <c r="W2" s="1" t="s">
        <v>41</v>
      </c>
    </row>
    <row r="3" spans="1:23" x14ac:dyDescent="0.2">
      <c r="A3" s="5" t="s">
        <v>42</v>
      </c>
      <c r="B3" s="5" t="s">
        <v>43</v>
      </c>
      <c r="C3" t="s">
        <v>44</v>
      </c>
      <c r="D3" t="s">
        <v>45</v>
      </c>
      <c r="E3" t="s">
        <v>46</v>
      </c>
      <c r="F3" t="s">
        <v>47</v>
      </c>
      <c r="G3" s="6" t="str">
        <f xml:space="preserve"> IF( OR(RIGHT(KeyTable[[#This Row],[StyleName]], 4) = "Date", RIGHT(KeyTable[[#This Row],[StyleName]], 3) = "Val"), "OCRB", "Bahnschrift")</f>
        <v>Bahnschrift</v>
      </c>
      <c r="H3" s="7" t="s">
        <v>48</v>
      </c>
      <c r="I3" s="1" t="s">
        <v>49</v>
      </c>
      <c r="J3" s="1"/>
      <c r="K3" s="7"/>
      <c r="L3" s="8"/>
      <c r="M3" s="9"/>
      <c r="N3" s="10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11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12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50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13" t="s">
        <v>51</v>
      </c>
      <c r="B4" s="13" t="s">
        <v>52</v>
      </c>
      <c r="C4" t="s">
        <v>44</v>
      </c>
      <c r="D4" t="s">
        <v>45</v>
      </c>
      <c r="E4" t="s">
        <v>46</v>
      </c>
      <c r="F4" t="s">
        <v>47</v>
      </c>
      <c r="G4" s="6" t="str">
        <f xml:space="preserve"> IF( OR(RIGHT(KeyTable[[#This Row],[StyleName]], 4) = "Date", RIGHT(KeyTable[[#This Row],[StyleName]], 3) = "Val"), "OCRB", "Bahnschrift")</f>
        <v>Bahnschrift</v>
      </c>
      <c r="H4" s="7" t="s">
        <v>48</v>
      </c>
      <c r="I4" s="1" t="s">
        <v>53</v>
      </c>
      <c r="J4" s="1"/>
      <c r="K4" s="7" t="s">
        <v>54</v>
      </c>
      <c r="L4" s="8"/>
      <c r="M4" s="9"/>
      <c r="N4" s="10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11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4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55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5" t="s">
        <v>56</v>
      </c>
      <c r="B5" s="15" t="s">
        <v>57</v>
      </c>
      <c r="C5" t="s">
        <v>58</v>
      </c>
      <c r="D5" t="s">
        <v>45</v>
      </c>
      <c r="E5" t="s">
        <v>59</v>
      </c>
      <c r="G5" s="6" t="str">
        <f xml:space="preserve"> IF( OR(RIGHT(KeyTable[[#This Row],[StyleName]], 4) = "Date", RIGHT(KeyTable[[#This Row],[StyleName]], 3) = "Val"), "OCRB", "Bahnschrift")</f>
        <v>Bahnschrift</v>
      </c>
      <c r="H5" s="7" t="s">
        <v>49</v>
      </c>
      <c r="I5" s="1" t="s">
        <v>60</v>
      </c>
      <c r="J5" s="1"/>
      <c r="K5" s="7" t="s">
        <v>61</v>
      </c>
      <c r="L5" s="8"/>
      <c r="M5" s="9"/>
      <c r="N5" s="10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11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4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4" t="s">
        <v>62</v>
      </c>
      <c r="B6" s="14" t="s">
        <v>63</v>
      </c>
      <c r="C6" t="s">
        <v>58</v>
      </c>
      <c r="D6" t="s">
        <v>45</v>
      </c>
      <c r="E6" t="s">
        <v>59</v>
      </c>
      <c r="G6" s="6" t="str">
        <f xml:space="preserve"> IF( OR(RIGHT(KeyTable[[#This Row],[StyleName]], 4) = "Date", RIGHT(KeyTable[[#This Row],[StyleName]], 3) = "Val"), "OCRB", "Bahnschrift")</f>
        <v>OCRB</v>
      </c>
      <c r="H6" s="7" t="s">
        <v>49</v>
      </c>
      <c r="I6" s="1" t="s">
        <v>60</v>
      </c>
      <c r="J6" s="1"/>
      <c r="K6" s="7" t="s">
        <v>64</v>
      </c>
      <c r="L6" s="8"/>
      <c r="M6" s="9"/>
      <c r="N6" s="10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11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4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65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6" t="s">
        <v>66</v>
      </c>
      <c r="B7" s="6" t="s">
        <v>67</v>
      </c>
      <c r="C7" s="17" t="s">
        <v>58</v>
      </c>
      <c r="D7" s="17" t="s">
        <v>45</v>
      </c>
      <c r="E7" s="17" t="s">
        <v>59</v>
      </c>
      <c r="F7" s="17"/>
      <c r="G7" s="18" t="str">
        <f xml:space="preserve"> IF( OR(RIGHT(KeyTable[[#This Row],[StyleName]], 4) = "Date", RIGHT(KeyTable[[#This Row],[StyleName]], 3) = "Val"), "OCRB", "Bahnschrift")</f>
        <v>Bahnschrift</v>
      </c>
      <c r="H7" s="19" t="s">
        <v>49</v>
      </c>
      <c r="I7" s="20" t="s">
        <v>60</v>
      </c>
      <c r="J7" s="20"/>
      <c r="K7" s="19" t="s">
        <v>68</v>
      </c>
      <c r="L7" s="20"/>
      <c r="M7" s="21"/>
      <c r="N7" s="22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23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24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25" t="s">
        <v>69</v>
      </c>
      <c r="B8" s="25" t="s">
        <v>70</v>
      </c>
      <c r="C8" t="s">
        <v>44</v>
      </c>
      <c r="D8" t="s">
        <v>45</v>
      </c>
      <c r="E8" t="s">
        <v>71</v>
      </c>
      <c r="F8" t="s">
        <v>72</v>
      </c>
      <c r="G8" s="26" t="str">
        <f xml:space="preserve"> IF( OR(RIGHT(KeyTable[[#This Row],[StyleName]], 4) = "Date", RIGHT(KeyTable[[#This Row],[StyleName]], 3) = "Val"), "OCRB", "Bahnschrift")</f>
        <v>Bahnschrift</v>
      </c>
      <c r="H8" s="7" t="s">
        <v>48</v>
      </c>
      <c r="I8" s="1" t="s">
        <v>49</v>
      </c>
      <c r="J8" s="1" t="s">
        <v>49</v>
      </c>
      <c r="K8" s="27"/>
      <c r="L8" s="28" t="s">
        <v>61</v>
      </c>
      <c r="M8" s="29" t="s">
        <v>14</v>
      </c>
      <c r="N8" s="30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31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32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3" t="s">
        <v>73</v>
      </c>
      <c r="B9" s="33" t="s">
        <v>74</v>
      </c>
      <c r="C9" t="s">
        <v>44</v>
      </c>
      <c r="D9" t="s">
        <v>45</v>
      </c>
      <c r="E9" t="s">
        <v>71</v>
      </c>
      <c r="F9" t="s">
        <v>47</v>
      </c>
      <c r="G9" s="6" t="str">
        <f xml:space="preserve"> IF( OR(RIGHT(KeyTable[[#This Row],[StyleName]], 4) = "Date", RIGHT(KeyTable[[#This Row],[StyleName]], 3) = "Val"), "OCRB", "Bahnschrift")</f>
        <v>Bahnschrift</v>
      </c>
      <c r="H9" s="7" t="s">
        <v>53</v>
      </c>
      <c r="I9" s="1" t="s">
        <v>53</v>
      </c>
      <c r="J9" s="1"/>
      <c r="K9" s="7"/>
      <c r="L9" s="8" t="s">
        <v>75</v>
      </c>
      <c r="M9" s="9"/>
      <c r="N9" s="10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11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11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4" t="s">
        <v>76</v>
      </c>
      <c r="B10" s="34" t="s">
        <v>77</v>
      </c>
      <c r="C10" t="s">
        <v>78</v>
      </c>
      <c r="D10" t="s">
        <v>45</v>
      </c>
      <c r="E10" t="s">
        <v>79</v>
      </c>
      <c r="G10" s="6" t="str">
        <f xml:space="preserve"> IF( OR(RIGHT(KeyTable[[#This Row],[StyleName]], 4) = "Date", RIGHT(KeyTable[[#This Row],[StyleName]], 3) = "Val"), "OCRB", "Bahnschrift")</f>
        <v>Bahnschrift</v>
      </c>
      <c r="H10" s="7" t="s">
        <v>48</v>
      </c>
      <c r="I10" s="1" t="s">
        <v>48</v>
      </c>
      <c r="J10" s="1"/>
      <c r="K10" s="7" t="s">
        <v>14</v>
      </c>
      <c r="L10" s="8" t="s">
        <v>61</v>
      </c>
      <c r="M10" s="9"/>
      <c r="N10" s="10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11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11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35" t="s">
        <v>80</v>
      </c>
      <c r="B11" s="35" t="s">
        <v>81</v>
      </c>
      <c r="C11" s="17" t="s">
        <v>78</v>
      </c>
      <c r="D11" s="17" t="s">
        <v>45</v>
      </c>
      <c r="E11" s="17" t="s">
        <v>79</v>
      </c>
      <c r="F11" s="17" t="s">
        <v>82</v>
      </c>
      <c r="G11" s="18" t="str">
        <f xml:space="preserve"> IF( OR(RIGHT(KeyTable[[#This Row],[StyleName]], 4) = "Date", RIGHT(KeyTable[[#This Row],[StyleName]], 3) = "Val"), "OCRB", "Bahnschrift")</f>
        <v>Bahnschrift</v>
      </c>
      <c r="H11" s="19" t="s">
        <v>48</v>
      </c>
      <c r="I11" s="20" t="s">
        <v>48</v>
      </c>
      <c r="J11" s="20" t="s">
        <v>53</v>
      </c>
      <c r="K11" s="19"/>
      <c r="L11" s="20"/>
      <c r="M11" s="21" t="s">
        <v>54</v>
      </c>
      <c r="N11" s="22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23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23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36" t="s">
        <v>83</v>
      </c>
      <c r="B12" s="36" t="s">
        <v>84</v>
      </c>
      <c r="C12" t="s">
        <v>85</v>
      </c>
      <c r="D12" s="37" t="s">
        <v>45</v>
      </c>
      <c r="E12" s="37" t="s">
        <v>86</v>
      </c>
      <c r="F12" s="37" t="s">
        <v>87</v>
      </c>
      <c r="G12" s="26" t="str">
        <f xml:space="preserve"> IF( OR(RIGHT(KeyTable[[#This Row],[StyleName]], 4) = "Date", RIGHT(KeyTable[[#This Row],[StyleName]], 3) = "Val"), "OCRB", "Bahnschrift")</f>
        <v>Bahnschrift</v>
      </c>
      <c r="H12" s="7" t="s">
        <v>88</v>
      </c>
      <c r="I12" s="8" t="s">
        <v>88</v>
      </c>
      <c r="J12" s="8"/>
      <c r="K12" s="27" t="s">
        <v>89</v>
      </c>
      <c r="L12" s="28"/>
      <c r="M12" s="29"/>
      <c r="N12" s="30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31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31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38" t="s">
        <v>90</v>
      </c>
      <c r="B13" s="38" t="s">
        <v>91</v>
      </c>
      <c r="C13" t="s">
        <v>85</v>
      </c>
      <c r="D13" s="37" t="s">
        <v>45</v>
      </c>
      <c r="E13" s="37" t="s">
        <v>86</v>
      </c>
      <c r="F13" s="37" t="s">
        <v>92</v>
      </c>
      <c r="G13" s="6" t="str">
        <f xml:space="preserve"> IF( OR(RIGHT(KeyTable[[#This Row],[StyleName]], 4) = "Date", RIGHT(KeyTable[[#This Row],[StyleName]], 3) = "Val"), "OCRB", "Bahnschrift")</f>
        <v>Bahnschrift</v>
      </c>
      <c r="H13" s="7" t="s">
        <v>88</v>
      </c>
      <c r="I13" s="8" t="s">
        <v>88</v>
      </c>
      <c r="J13" s="8"/>
      <c r="K13" s="7"/>
      <c r="L13" s="8"/>
      <c r="M13" s="9"/>
      <c r="N13" s="10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1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4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39" t="s">
        <v>93</v>
      </c>
      <c r="B14" s="40" t="s">
        <v>94</v>
      </c>
      <c r="C14" t="s">
        <v>85</v>
      </c>
      <c r="D14" s="37" t="s">
        <v>45</v>
      </c>
      <c r="E14" s="37" t="s">
        <v>86</v>
      </c>
      <c r="F14" s="37" t="s">
        <v>92</v>
      </c>
      <c r="G14" s="6" t="str">
        <f xml:space="preserve"> IF( OR(RIGHT(KeyTable[[#This Row],[StyleName]], 4) = "Date", RIGHT(KeyTable[[#This Row],[StyleName]], 3) = "Val"), "OCRB", "Bahnschrift")</f>
        <v>Bahnschrift</v>
      </c>
      <c r="H14" s="7" t="s">
        <v>88</v>
      </c>
      <c r="I14" s="8" t="s">
        <v>88</v>
      </c>
      <c r="J14" s="8"/>
      <c r="K14" s="7"/>
      <c r="L14" s="8"/>
      <c r="M14" s="9"/>
      <c r="N14" s="10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1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4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41" t="s">
        <v>95</v>
      </c>
      <c r="B15" s="41" t="s">
        <v>96</v>
      </c>
      <c r="C15" s="42" t="s">
        <v>97</v>
      </c>
      <c r="D15" s="42" t="s">
        <v>98</v>
      </c>
      <c r="E15" s="42" t="s">
        <v>99</v>
      </c>
      <c r="F15" s="42" t="s">
        <v>100</v>
      </c>
      <c r="G15" s="6" t="str">
        <f xml:space="preserve"> IF( OR(RIGHT(KeyTable[[#This Row],[StyleName]], 4) = "Date", RIGHT(KeyTable[[#This Row],[StyleName]], 3) = "Val"), "OCRB", "Bahnschrift")</f>
        <v>Bahnschrift</v>
      </c>
      <c r="H15" s="43" t="s">
        <v>88</v>
      </c>
      <c r="I15" s="44" t="s">
        <v>88</v>
      </c>
      <c r="J15" s="44"/>
      <c r="K15" s="43"/>
      <c r="L15" s="44" t="s">
        <v>89</v>
      </c>
      <c r="M15" s="9"/>
      <c r="N15" s="10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1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4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45" t="s">
        <v>101</v>
      </c>
      <c r="B16" s="46" t="s">
        <v>102</v>
      </c>
      <c r="C16" t="s">
        <v>85</v>
      </c>
      <c r="D16" s="37" t="s">
        <v>98</v>
      </c>
      <c r="E16" s="37" t="s">
        <v>99</v>
      </c>
      <c r="F16" s="37" t="s">
        <v>100</v>
      </c>
      <c r="G16" s="6" t="str">
        <f xml:space="preserve"> IF( OR(RIGHT(KeyTable[[#This Row],[StyleName]], 4) = "Date", RIGHT(KeyTable[[#This Row],[StyleName]], 3) = "Val"), "OCRB", "Bahnschrift")</f>
        <v>OCRB</v>
      </c>
      <c r="H16" s="7" t="s">
        <v>88</v>
      </c>
      <c r="I16" s="8" t="s">
        <v>88</v>
      </c>
      <c r="J16" s="8"/>
      <c r="K16" s="7" t="s">
        <v>103</v>
      </c>
      <c r="L16" s="8" t="s">
        <v>89</v>
      </c>
      <c r="M16" s="9"/>
      <c r="N16" s="10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1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4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47" t="s">
        <v>104</v>
      </c>
      <c r="B17" s="48" t="s">
        <v>105</v>
      </c>
      <c r="C17" s="42" t="s">
        <v>97</v>
      </c>
      <c r="D17" s="42" t="s">
        <v>98</v>
      </c>
      <c r="E17" s="42" t="s">
        <v>99</v>
      </c>
      <c r="F17" s="42" t="s">
        <v>100</v>
      </c>
      <c r="G17" s="6" t="str">
        <f xml:space="preserve"> IF( OR(RIGHT(KeyTable[[#This Row],[StyleName]], 4) = "Date", RIGHT(KeyTable[[#This Row],[StyleName]], 3) = "Val"), "OCRB", "Bahnschrift")</f>
        <v>Bahnschrift</v>
      </c>
      <c r="H17" s="43" t="s">
        <v>88</v>
      </c>
      <c r="I17" s="44" t="s">
        <v>88</v>
      </c>
      <c r="J17" s="44"/>
      <c r="K17" s="43" t="s">
        <v>106</v>
      </c>
      <c r="L17" s="44" t="s">
        <v>89</v>
      </c>
      <c r="M17" s="9"/>
      <c r="N17" s="10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1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4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49" t="s">
        <v>107</v>
      </c>
      <c r="B18" s="49" t="s">
        <v>108</v>
      </c>
      <c r="C18" s="50" t="s">
        <v>109</v>
      </c>
      <c r="D18" s="50" t="s">
        <v>45</v>
      </c>
      <c r="E18" s="50" t="s">
        <v>110</v>
      </c>
      <c r="F18" s="17" t="s">
        <v>111</v>
      </c>
      <c r="G18" s="18" t="str">
        <f xml:space="preserve"> IF( OR(RIGHT(KeyTable[[#This Row],[StyleName]], 4) = "Date", RIGHT(KeyTable[[#This Row],[StyleName]], 3) = "Val"), "OCRB", "Bahnschrift")</f>
        <v>Bahnschrift</v>
      </c>
      <c r="H18" s="51" t="s">
        <v>88</v>
      </c>
      <c r="I18" s="52" t="s">
        <v>88</v>
      </c>
      <c r="J18" s="52" t="s">
        <v>88</v>
      </c>
      <c r="K18" s="51" t="s">
        <v>103</v>
      </c>
      <c r="L18" s="52"/>
      <c r="M18" s="21"/>
      <c r="N18" s="53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23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24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54" t="s">
        <v>112</v>
      </c>
      <c r="B19" s="54" t="s">
        <v>113</v>
      </c>
      <c r="C19" t="s">
        <v>44</v>
      </c>
      <c r="D19" t="s">
        <v>45</v>
      </c>
      <c r="E19" t="s">
        <v>86</v>
      </c>
      <c r="F19" t="s">
        <v>47</v>
      </c>
      <c r="G19" s="26" t="str">
        <f xml:space="preserve"> IF( OR(RIGHT(KeyTable[[#This Row],[StyleName]], 4) = "Date", RIGHT(KeyTable[[#This Row],[StyleName]], 3) = "Val"), "OCRB", "Bahnschrift")</f>
        <v>Bahnschrift</v>
      </c>
      <c r="H19" s="7" t="s">
        <v>114</v>
      </c>
      <c r="I19" s="1" t="s">
        <v>114</v>
      </c>
      <c r="J19" s="1"/>
      <c r="K19" s="7"/>
      <c r="L19" s="8"/>
      <c r="M19" s="9"/>
      <c r="N19" s="30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31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32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55" t="s">
        <v>115</v>
      </c>
      <c r="B20" s="55" t="s">
        <v>116</v>
      </c>
      <c r="C20" t="s">
        <v>44</v>
      </c>
      <c r="D20" t="s">
        <v>45</v>
      </c>
      <c r="E20" t="s">
        <v>86</v>
      </c>
      <c r="F20" t="s">
        <v>47</v>
      </c>
      <c r="G20" s="6" t="str">
        <f xml:space="preserve"> IF( OR(RIGHT(KeyTable[[#This Row],[StyleName]], 4) = "Date", RIGHT(KeyTable[[#This Row],[StyleName]], 3) = "Val"), "OCRB", "Bahnschrift")</f>
        <v>Bahnschrift</v>
      </c>
      <c r="H20" s="7" t="s">
        <v>114</v>
      </c>
      <c r="I20" s="1" t="s">
        <v>114</v>
      </c>
      <c r="J20" s="1"/>
      <c r="K20" s="7"/>
      <c r="L20" s="8"/>
      <c r="M20" s="9"/>
      <c r="N20" s="10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11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4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56" t="s">
        <v>117</v>
      </c>
      <c r="B21" s="56" t="s">
        <v>118</v>
      </c>
      <c r="C21" t="s">
        <v>119</v>
      </c>
      <c r="D21" t="s">
        <v>98</v>
      </c>
      <c r="E21" t="s">
        <v>99</v>
      </c>
      <c r="G21" s="6" t="str">
        <f xml:space="preserve"> IF( OR(RIGHT(KeyTable[[#This Row],[StyleName]], 4) = "Date", RIGHT(KeyTable[[#This Row],[StyleName]], 3) = "Val"), "OCRB", "Bahnschrift")</f>
        <v>Bahnschrift</v>
      </c>
      <c r="H21" s="7" t="s">
        <v>53</v>
      </c>
      <c r="I21" s="1" t="s">
        <v>114</v>
      </c>
      <c r="J21" s="1"/>
      <c r="K21" s="7"/>
      <c r="L21" s="8"/>
      <c r="M21" s="9"/>
      <c r="N21" s="10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11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4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57" t="s">
        <v>120</v>
      </c>
      <c r="B22" s="57" t="s">
        <v>121</v>
      </c>
      <c r="C22" t="s">
        <v>119</v>
      </c>
      <c r="D22" t="s">
        <v>98</v>
      </c>
      <c r="E22" t="s">
        <v>99</v>
      </c>
      <c r="F22" t="s">
        <v>122</v>
      </c>
      <c r="G22" s="6" t="str">
        <f xml:space="preserve"> IF( OR(RIGHT(KeyTable[[#This Row],[StyleName]], 4) = "Date", RIGHT(KeyTable[[#This Row],[StyleName]], 3) = "Val"), "OCRB", "Bahnschrift")</f>
        <v>OCRB</v>
      </c>
      <c r="H22" s="7" t="s">
        <v>53</v>
      </c>
      <c r="I22" s="1" t="s">
        <v>114</v>
      </c>
      <c r="J22" s="1"/>
      <c r="K22" s="7" t="s">
        <v>103</v>
      </c>
      <c r="L22" s="8"/>
      <c r="M22" s="9"/>
      <c r="N22" s="10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11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4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58" t="s">
        <v>123</v>
      </c>
      <c r="B23" s="59" t="s">
        <v>124</v>
      </c>
      <c r="C23" t="s">
        <v>119</v>
      </c>
      <c r="D23" t="s">
        <v>98</v>
      </c>
      <c r="E23" t="s">
        <v>99</v>
      </c>
      <c r="G23" s="6" t="str">
        <f xml:space="preserve"> IF( OR(RIGHT(KeyTable[[#This Row],[StyleName]], 4) = "Date", RIGHT(KeyTable[[#This Row],[StyleName]], 3) = "Val"), "OCRB", "Bahnschrift")</f>
        <v>OCRB</v>
      </c>
      <c r="H23" s="7" t="s">
        <v>53</v>
      </c>
      <c r="I23" s="1" t="s">
        <v>114</v>
      </c>
      <c r="J23" s="1"/>
      <c r="K23" s="7" t="s">
        <v>103</v>
      </c>
      <c r="L23" s="8"/>
      <c r="M23" s="9"/>
      <c r="N23" s="10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11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4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60" t="s">
        <v>125</v>
      </c>
      <c r="B24" s="61" t="s">
        <v>126</v>
      </c>
      <c r="C24" t="s">
        <v>119</v>
      </c>
      <c r="D24" t="s">
        <v>98</v>
      </c>
      <c r="E24" t="s">
        <v>99</v>
      </c>
      <c r="G24" s="6" t="str">
        <f xml:space="preserve"> IF( OR(RIGHT(KeyTable[[#This Row],[StyleName]], 4) = "Date", RIGHT(KeyTable[[#This Row],[StyleName]], 3) = "Val"), "OCRB", "Bahnschrift")</f>
        <v>Bahnschrift</v>
      </c>
      <c r="H24" s="7" t="s">
        <v>53</v>
      </c>
      <c r="I24" s="1" t="s">
        <v>114</v>
      </c>
      <c r="J24" s="1"/>
      <c r="K24" s="7" t="s">
        <v>106</v>
      </c>
      <c r="L24" s="8"/>
      <c r="M24" s="9"/>
      <c r="N24" s="10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11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4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62" t="s">
        <v>127</v>
      </c>
      <c r="B25" s="62" t="s">
        <v>128</v>
      </c>
      <c r="C25" s="17" t="s">
        <v>119</v>
      </c>
      <c r="D25" s="17" t="s">
        <v>98</v>
      </c>
      <c r="E25" s="17" t="s">
        <v>129</v>
      </c>
      <c r="F25" s="17" t="s">
        <v>82</v>
      </c>
      <c r="G25" s="18" t="str">
        <f xml:space="preserve"> IF( OR(RIGHT(KeyTable[[#This Row],[StyleName]], 4) = "Date", RIGHT(KeyTable[[#This Row],[StyleName]], 3) = "Val"), "OCRB", "Bahnschrift")</f>
        <v>Bahnschrift</v>
      </c>
      <c r="H25" s="19" t="s">
        <v>114</v>
      </c>
      <c r="I25" s="20" t="s">
        <v>114</v>
      </c>
      <c r="J25" s="20" t="s">
        <v>114</v>
      </c>
      <c r="K25" s="19"/>
      <c r="L25" s="20"/>
      <c r="M25" s="21"/>
      <c r="N25" s="22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23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24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63" t="s">
        <v>130</v>
      </c>
      <c r="B26" s="63" t="s">
        <v>131</v>
      </c>
      <c r="C26" t="s">
        <v>44</v>
      </c>
      <c r="D26" t="s">
        <v>45</v>
      </c>
      <c r="E26" t="s">
        <v>86</v>
      </c>
      <c r="F26" t="s">
        <v>72</v>
      </c>
      <c r="G26" s="26" t="str">
        <f xml:space="preserve"> IF( OR(RIGHT(KeyTable[[#This Row],[StyleName]], 4) = "Date", RIGHT(KeyTable[[#This Row],[StyleName]], 3) = "Val"), "OCRB", "Bahnschrift")</f>
        <v>Bahnschrift</v>
      </c>
      <c r="H26" s="7" t="s">
        <v>132</v>
      </c>
      <c r="I26" s="1" t="s">
        <v>132</v>
      </c>
      <c r="J26" s="1"/>
      <c r="K26" s="27"/>
      <c r="L26" s="28"/>
      <c r="M26" s="29"/>
      <c r="N26" s="30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31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32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64" t="s">
        <v>133</v>
      </c>
      <c r="B27" s="64" t="s">
        <v>134</v>
      </c>
      <c r="C27" t="s">
        <v>135</v>
      </c>
      <c r="D27" t="s">
        <v>45</v>
      </c>
      <c r="E27" t="s">
        <v>136</v>
      </c>
      <c r="F27" t="s">
        <v>47</v>
      </c>
      <c r="G27" s="6" t="str">
        <f xml:space="preserve"> IF( OR(RIGHT(KeyTable[[#This Row],[StyleName]], 4) = "Date", RIGHT(KeyTable[[#This Row],[StyleName]], 3) = "Val"), "OCRB", "Bahnschrift")</f>
        <v>Bahnschrift</v>
      </c>
      <c r="H27" s="7" t="s">
        <v>132</v>
      </c>
      <c r="I27" s="1" t="s">
        <v>132</v>
      </c>
      <c r="J27" s="1"/>
      <c r="K27" s="7"/>
      <c r="L27" s="8"/>
      <c r="M27" s="9"/>
      <c r="N27" s="10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11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4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65" t="s">
        <v>137</v>
      </c>
      <c r="B28" s="65" t="s">
        <v>138</v>
      </c>
      <c r="C28" t="s">
        <v>58</v>
      </c>
      <c r="D28" t="s">
        <v>45</v>
      </c>
      <c r="E28" t="s">
        <v>139</v>
      </c>
      <c r="G28" s="6" t="str">
        <f xml:space="preserve"> IF( OR(RIGHT(KeyTable[[#This Row],[StyleName]], 4) = "Date", RIGHT(KeyTable[[#This Row],[StyleName]], 3) = "Val"), "OCRB", "Bahnschrift")</f>
        <v>Bahnschrift</v>
      </c>
      <c r="H28" s="66" t="s">
        <v>53</v>
      </c>
      <c r="I28" s="1" t="s">
        <v>132</v>
      </c>
      <c r="J28" s="1"/>
      <c r="K28" s="7"/>
      <c r="L28" s="8"/>
      <c r="M28" s="9"/>
      <c r="N28" s="10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11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4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67" t="s">
        <v>140</v>
      </c>
      <c r="B29" s="67" t="s">
        <v>141</v>
      </c>
      <c r="C29" t="s">
        <v>58</v>
      </c>
      <c r="D29" t="s">
        <v>45</v>
      </c>
      <c r="E29" t="s">
        <v>142</v>
      </c>
      <c r="G29" s="6" t="str">
        <f xml:space="preserve"> IF( OR(RIGHT(KeyTable[[#This Row],[StyleName]], 4) = "Date", RIGHT(KeyTable[[#This Row],[StyleName]], 3) = "Val"), "OCRB", "Bahnschrift")</f>
        <v>OCRB</v>
      </c>
      <c r="H29" s="66" t="s">
        <v>53</v>
      </c>
      <c r="I29" s="1" t="s">
        <v>132</v>
      </c>
      <c r="J29" s="1"/>
      <c r="K29" s="7" t="s">
        <v>103</v>
      </c>
      <c r="L29" s="8"/>
      <c r="M29" s="9"/>
      <c r="N29" s="10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11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4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68" t="s">
        <v>143</v>
      </c>
      <c r="B30" s="68" t="s">
        <v>144</v>
      </c>
      <c r="C30" t="s">
        <v>58</v>
      </c>
      <c r="D30" t="s">
        <v>45</v>
      </c>
      <c r="E30" t="s">
        <v>142</v>
      </c>
      <c r="G30" s="6" t="str">
        <f xml:space="preserve"> IF( OR(RIGHT(KeyTable[[#This Row],[StyleName]], 4) = "Date", RIGHT(KeyTable[[#This Row],[StyleName]], 3) = "Val"), "OCRB", "Bahnschrift")</f>
        <v>Bahnschrift</v>
      </c>
      <c r="H30" s="66" t="s">
        <v>53</v>
      </c>
      <c r="I30" s="1" t="s">
        <v>132</v>
      </c>
      <c r="J30" s="1"/>
      <c r="K30" s="7" t="s">
        <v>106</v>
      </c>
      <c r="L30" s="8"/>
      <c r="M30" s="9"/>
      <c r="N30" s="10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11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4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69" t="s">
        <v>145</v>
      </c>
      <c r="B31" s="69" t="s">
        <v>146</v>
      </c>
      <c r="C31" s="17" t="s">
        <v>147</v>
      </c>
      <c r="D31" s="17" t="s">
        <v>98</v>
      </c>
      <c r="E31" s="17" t="s">
        <v>148</v>
      </c>
      <c r="F31" s="17" t="s">
        <v>82</v>
      </c>
      <c r="G31" s="18" t="str">
        <f xml:space="preserve"> IF( OR(RIGHT(KeyTable[[#This Row],[StyleName]], 4) = "Date", RIGHT(KeyTable[[#This Row],[StyleName]], 3) = "Val"), "OCRB", "Bahnschrift")</f>
        <v>Bahnschrift</v>
      </c>
      <c r="H31" s="19" t="s">
        <v>132</v>
      </c>
      <c r="I31" s="20" t="s">
        <v>132</v>
      </c>
      <c r="J31" s="20" t="s">
        <v>132</v>
      </c>
      <c r="K31" s="19" t="s">
        <v>103</v>
      </c>
      <c r="L31" s="20"/>
      <c r="M31" s="21"/>
      <c r="N31" s="22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23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24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70" t="s">
        <v>149</v>
      </c>
      <c r="B32" s="70" t="s">
        <v>150</v>
      </c>
      <c r="C32" t="s">
        <v>44</v>
      </c>
      <c r="D32" t="s">
        <v>45</v>
      </c>
      <c r="E32" t="s">
        <v>86</v>
      </c>
      <c r="F32" t="s">
        <v>47</v>
      </c>
      <c r="G32" s="26" t="str">
        <f xml:space="preserve"> IF( OR(RIGHT(KeyTable[[#This Row],[StyleName]], 4) = "Date", RIGHT(KeyTable[[#This Row],[StyleName]], 3) = "Val"), "OCRB", "Bahnschrift")</f>
        <v>Bahnschrift</v>
      </c>
      <c r="H32" s="7" t="s">
        <v>151</v>
      </c>
      <c r="I32" s="1" t="s">
        <v>151</v>
      </c>
      <c r="J32" s="1"/>
      <c r="K32" s="27"/>
      <c r="L32" s="28"/>
      <c r="M32" s="29"/>
      <c r="N32" s="30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31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32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71" t="s">
        <v>152</v>
      </c>
      <c r="B33" s="71" t="s">
        <v>153</v>
      </c>
      <c r="C33" t="s">
        <v>44</v>
      </c>
      <c r="D33" t="s">
        <v>45</v>
      </c>
      <c r="E33" t="s">
        <v>86</v>
      </c>
      <c r="F33" t="s">
        <v>47</v>
      </c>
      <c r="G33" s="6" t="str">
        <f xml:space="preserve"> IF( OR(RIGHT(KeyTable[[#This Row],[StyleName]], 4) = "Date", RIGHT(KeyTable[[#This Row],[StyleName]], 3) = "Val"), "OCRB", "Bahnschrift")</f>
        <v>Bahnschrift</v>
      </c>
      <c r="H33" s="7" t="s">
        <v>151</v>
      </c>
      <c r="I33" s="1" t="s">
        <v>151</v>
      </c>
      <c r="J33" s="1"/>
      <c r="K33" s="7"/>
      <c r="L33" s="8"/>
      <c r="M33" s="9"/>
      <c r="N33" s="10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11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4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72" t="s">
        <v>154</v>
      </c>
      <c r="B34" s="72" t="s">
        <v>155</v>
      </c>
      <c r="C34" t="s">
        <v>156</v>
      </c>
      <c r="D34" t="s">
        <v>45</v>
      </c>
      <c r="E34" s="37" t="s">
        <v>157</v>
      </c>
      <c r="G34" s="6" t="str">
        <f xml:space="preserve"> IF( OR(RIGHT(KeyTable[[#This Row],[StyleName]], 4) = "Date", RIGHT(KeyTable[[#This Row],[StyleName]], 3) = "Val"), "OCRB", "Bahnschrift")</f>
        <v>Bahnschrift</v>
      </c>
      <c r="H34" s="66" t="s">
        <v>53</v>
      </c>
      <c r="I34" s="1" t="s">
        <v>151</v>
      </c>
      <c r="J34" s="1"/>
      <c r="K34" s="7"/>
      <c r="L34" s="8"/>
      <c r="M34" s="9"/>
      <c r="N34" s="10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11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4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73" t="s">
        <v>158</v>
      </c>
      <c r="B35" s="73" t="s">
        <v>159</v>
      </c>
      <c r="C35" t="s">
        <v>156</v>
      </c>
      <c r="D35" t="s">
        <v>45</v>
      </c>
      <c r="E35" t="s">
        <v>160</v>
      </c>
      <c r="F35" t="s">
        <v>122</v>
      </c>
      <c r="G35" s="6" t="str">
        <f xml:space="preserve"> IF( OR(RIGHT(KeyTable[[#This Row],[StyleName]], 4) = "Date", RIGHT(KeyTable[[#This Row],[StyleName]], 3) = "Val"), "OCRB", "Bahnschrift")</f>
        <v>OCRB</v>
      </c>
      <c r="H35" s="66" t="s">
        <v>53</v>
      </c>
      <c r="I35" s="1" t="s">
        <v>151</v>
      </c>
      <c r="J35" s="1"/>
      <c r="K35" s="7" t="s">
        <v>103</v>
      </c>
      <c r="L35" s="8"/>
      <c r="M35" s="9"/>
      <c r="N35" s="10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11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4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74" t="s">
        <v>161</v>
      </c>
      <c r="B36" s="75" t="s">
        <v>162</v>
      </c>
      <c r="C36" t="s">
        <v>156</v>
      </c>
      <c r="D36" t="s">
        <v>45</v>
      </c>
      <c r="E36" t="s">
        <v>160</v>
      </c>
      <c r="G36" s="6" t="str">
        <f xml:space="preserve"> IF( OR(RIGHT(KeyTable[[#This Row],[StyleName]], 4) = "Date", RIGHT(KeyTable[[#This Row],[StyleName]], 3) = "Val"), "OCRB", "Bahnschrift")</f>
        <v>OCRB</v>
      </c>
      <c r="H36" s="66" t="s">
        <v>53</v>
      </c>
      <c r="I36" s="1" t="s">
        <v>151</v>
      </c>
      <c r="J36" s="1"/>
      <c r="K36" s="7" t="s">
        <v>103</v>
      </c>
      <c r="L36" s="8"/>
      <c r="M36" s="9"/>
      <c r="N36" s="10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11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4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76" t="s">
        <v>163</v>
      </c>
      <c r="B37" s="77" t="s">
        <v>164</v>
      </c>
      <c r="C37" t="s">
        <v>156</v>
      </c>
      <c r="D37" t="s">
        <v>45</v>
      </c>
      <c r="E37" s="37" t="s">
        <v>157</v>
      </c>
      <c r="G37" s="6" t="str">
        <f xml:space="preserve"> IF( OR(RIGHT(KeyTable[[#This Row],[StyleName]], 4) = "Date", RIGHT(KeyTable[[#This Row],[StyleName]], 3) = "Val"), "OCRB", "Bahnschrift")</f>
        <v>Bahnschrift</v>
      </c>
      <c r="H37" s="66" t="s">
        <v>53</v>
      </c>
      <c r="I37" s="1" t="s">
        <v>151</v>
      </c>
      <c r="J37" s="1"/>
      <c r="K37" s="7" t="s">
        <v>106</v>
      </c>
      <c r="L37" s="8"/>
      <c r="M37" s="9"/>
      <c r="N37" s="10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11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4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78" t="s">
        <v>165</v>
      </c>
      <c r="B38" s="78" t="s">
        <v>166</v>
      </c>
      <c r="C38" s="17" t="s">
        <v>156</v>
      </c>
      <c r="D38" s="17" t="s">
        <v>45</v>
      </c>
      <c r="E38" s="17" t="s">
        <v>157</v>
      </c>
      <c r="F38" s="17" t="s">
        <v>82</v>
      </c>
      <c r="G38" s="18" t="str">
        <f xml:space="preserve"> IF( OR(RIGHT(KeyTable[[#This Row],[StyleName]], 4) = "Date", RIGHT(KeyTable[[#This Row],[StyleName]], 3) = "Val"), "OCRB", "Bahnschrift")</f>
        <v>Bahnschrift</v>
      </c>
      <c r="H38" s="19" t="s">
        <v>151</v>
      </c>
      <c r="I38" s="20" t="s">
        <v>151</v>
      </c>
      <c r="J38" s="20" t="s">
        <v>151</v>
      </c>
      <c r="K38" s="19"/>
      <c r="L38" s="20"/>
      <c r="M38" s="21"/>
      <c r="N38" s="22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23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24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79" t="s">
        <v>167</v>
      </c>
      <c r="B39" s="79" t="s">
        <v>168</v>
      </c>
      <c r="C39" t="s">
        <v>44</v>
      </c>
      <c r="D39" t="s">
        <v>45</v>
      </c>
      <c r="E39" t="s">
        <v>86</v>
      </c>
      <c r="F39" t="s">
        <v>47</v>
      </c>
      <c r="G39" s="26" t="str">
        <f xml:space="preserve"> IF( OR(RIGHT(KeyTable[[#This Row],[StyleName]], 4) = "Date", RIGHT(KeyTable[[#This Row],[StyleName]], 3) = "Val"), "OCRB", "Bahnschrift")</f>
        <v>Bahnschrift</v>
      </c>
      <c r="H39" s="7" t="s">
        <v>169</v>
      </c>
      <c r="I39" s="1" t="s">
        <v>169</v>
      </c>
      <c r="J39" s="1"/>
      <c r="K39" s="27"/>
      <c r="L39" s="28"/>
      <c r="M39" s="29"/>
      <c r="N39" s="30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31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32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80" t="s">
        <v>170</v>
      </c>
      <c r="B40" s="80" t="s">
        <v>171</v>
      </c>
      <c r="C40" t="s">
        <v>44</v>
      </c>
      <c r="D40" t="s">
        <v>45</v>
      </c>
      <c r="E40" t="s">
        <v>86</v>
      </c>
      <c r="F40" t="s">
        <v>47</v>
      </c>
      <c r="G40" s="6" t="str">
        <f xml:space="preserve"> IF( OR(RIGHT(KeyTable[[#This Row],[StyleName]], 4) = "Date", RIGHT(KeyTable[[#This Row],[StyleName]], 3) = "Val"), "OCRB", "Bahnschrift")</f>
        <v>Bahnschrift</v>
      </c>
      <c r="H40" s="7" t="s">
        <v>169</v>
      </c>
      <c r="I40" s="1" t="s">
        <v>169</v>
      </c>
      <c r="J40" s="1"/>
      <c r="K40" s="7"/>
      <c r="L40" s="8"/>
      <c r="M40" s="9"/>
      <c r="N40" s="10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11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4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81" t="s">
        <v>172</v>
      </c>
      <c r="B41" s="81" t="s">
        <v>173</v>
      </c>
      <c r="C41" t="s">
        <v>58</v>
      </c>
      <c r="D41" t="s">
        <v>45</v>
      </c>
      <c r="E41" t="s">
        <v>174</v>
      </c>
      <c r="G41" s="6" t="str">
        <f xml:space="preserve"> IF( OR(RIGHT(KeyTable[[#This Row],[StyleName]], 4) = "Date", RIGHT(KeyTable[[#This Row],[StyleName]], 3) = "Val"), "OCRB", "Bahnschrift")</f>
        <v>Bahnschrift</v>
      </c>
      <c r="H41" s="66" t="s">
        <v>53</v>
      </c>
      <c r="I41" s="1" t="s">
        <v>169</v>
      </c>
      <c r="J41" s="1"/>
      <c r="K41" s="7"/>
      <c r="L41" s="8"/>
      <c r="M41" s="9"/>
      <c r="N41" s="10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11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4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82" t="s">
        <v>175</v>
      </c>
      <c r="B42" s="82" t="s">
        <v>176</v>
      </c>
      <c r="C42" t="s">
        <v>58</v>
      </c>
      <c r="D42" t="s">
        <v>45</v>
      </c>
      <c r="E42" t="s">
        <v>174</v>
      </c>
      <c r="G42" s="6" t="str">
        <f xml:space="preserve"> IF( OR(RIGHT(KeyTable[[#This Row],[StyleName]], 4) = "Date", RIGHT(KeyTable[[#This Row],[StyleName]], 3) = "Val"), "OCRB", "Bahnschrift")</f>
        <v>OCRB</v>
      </c>
      <c r="H42" s="66" t="s">
        <v>53</v>
      </c>
      <c r="I42" s="1" t="s">
        <v>169</v>
      </c>
      <c r="J42" s="1"/>
      <c r="K42" s="7" t="s">
        <v>103</v>
      </c>
      <c r="L42" s="8"/>
      <c r="M42" s="9"/>
      <c r="N42" s="10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11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4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83" t="s">
        <v>177</v>
      </c>
      <c r="B43" s="83" t="s">
        <v>178</v>
      </c>
      <c r="C43" t="s">
        <v>58</v>
      </c>
      <c r="D43" t="s">
        <v>45</v>
      </c>
      <c r="E43" t="s">
        <v>174</v>
      </c>
      <c r="G43" s="6" t="str">
        <f xml:space="preserve"> IF( OR(RIGHT(KeyTable[[#This Row],[StyleName]], 4) = "Date", RIGHT(KeyTable[[#This Row],[StyleName]], 3) = "Val"), "OCRB", "Bahnschrift")</f>
        <v>Bahnschrift</v>
      </c>
      <c r="H43" s="66" t="s">
        <v>53</v>
      </c>
      <c r="I43" s="1" t="s">
        <v>169</v>
      </c>
      <c r="J43" s="1"/>
      <c r="K43" s="7" t="s">
        <v>106</v>
      </c>
      <c r="L43" s="8"/>
      <c r="M43" s="9"/>
      <c r="N43" s="10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11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4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84" t="s">
        <v>179</v>
      </c>
      <c r="B44" s="84" t="s">
        <v>180</v>
      </c>
      <c r="C44" s="17" t="s">
        <v>58</v>
      </c>
      <c r="D44" s="17" t="s">
        <v>45</v>
      </c>
      <c r="E44" s="17" t="s">
        <v>174</v>
      </c>
      <c r="F44" s="17" t="s">
        <v>82</v>
      </c>
      <c r="G44" s="18" t="str">
        <f xml:space="preserve"> IF( OR(RIGHT(KeyTable[[#This Row],[StyleName]], 4) = "Date", RIGHT(KeyTable[[#This Row],[StyleName]], 3) = "Val"), "OCRB", "Bahnschrift")</f>
        <v>Bahnschrift</v>
      </c>
      <c r="H44" s="19" t="s">
        <v>169</v>
      </c>
      <c r="I44" s="20" t="s">
        <v>169</v>
      </c>
      <c r="J44" s="20" t="s">
        <v>169</v>
      </c>
      <c r="K44" s="19" t="s">
        <v>181</v>
      </c>
      <c r="L44" s="20"/>
      <c r="M44" s="21"/>
      <c r="N44" s="22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23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24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85" t="s">
        <v>182</v>
      </c>
      <c r="B45" s="85" t="s">
        <v>183</v>
      </c>
      <c r="C45" t="s">
        <v>44</v>
      </c>
      <c r="D45" t="s">
        <v>45</v>
      </c>
      <c r="E45" t="s">
        <v>184</v>
      </c>
      <c r="F45" t="s">
        <v>47</v>
      </c>
      <c r="G45" s="26" t="str">
        <f xml:space="preserve"> IF( OR(RIGHT(KeyTable[[#This Row],[StyleName]], 4) = "Date", RIGHT(KeyTable[[#This Row],[StyleName]], 3) = "Val"), "OCRB", "Bahnschrift")</f>
        <v>Bahnschrift</v>
      </c>
      <c r="H45" s="7" t="s">
        <v>185</v>
      </c>
      <c r="I45" s="1" t="s">
        <v>185</v>
      </c>
      <c r="J45" s="1"/>
      <c r="K45" s="27"/>
      <c r="L45" s="28"/>
      <c r="M45" s="29"/>
      <c r="N45" s="30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31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32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86" t="s">
        <v>186</v>
      </c>
      <c r="B46" s="86" t="s">
        <v>187</v>
      </c>
      <c r="C46" t="s">
        <v>44</v>
      </c>
      <c r="D46" t="s">
        <v>45</v>
      </c>
      <c r="E46" t="s">
        <v>184</v>
      </c>
      <c r="F46" t="s">
        <v>47</v>
      </c>
      <c r="G46" s="6" t="str">
        <f xml:space="preserve"> IF( OR(RIGHT(KeyTable[[#This Row],[StyleName]], 4) = "Date", RIGHT(KeyTable[[#This Row],[StyleName]], 3) = "Val"), "OCRB", "Bahnschrift")</f>
        <v>Bahnschrift</v>
      </c>
      <c r="H46" s="7" t="s">
        <v>185</v>
      </c>
      <c r="I46" s="1" t="s">
        <v>185</v>
      </c>
      <c r="J46" s="1"/>
      <c r="K46" s="7"/>
      <c r="L46" s="8"/>
      <c r="M46" s="9"/>
      <c r="N46" s="10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11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4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87" t="s">
        <v>188</v>
      </c>
      <c r="B47" s="87" t="s">
        <v>189</v>
      </c>
      <c r="C47" t="s">
        <v>147</v>
      </c>
      <c r="D47" t="s">
        <v>45</v>
      </c>
      <c r="E47" t="s">
        <v>184</v>
      </c>
      <c r="G47" s="6" t="str">
        <f xml:space="preserve"> IF( OR(RIGHT(KeyTable[[#This Row],[StyleName]], 4) = "Date", RIGHT(KeyTable[[#This Row],[StyleName]], 3) = "Val"), "OCRB", "Bahnschrift")</f>
        <v>Bahnschrift</v>
      </c>
      <c r="H47" s="66" t="s">
        <v>53</v>
      </c>
      <c r="I47" s="1" t="s">
        <v>185</v>
      </c>
      <c r="J47" s="1"/>
      <c r="K47" s="7"/>
      <c r="L47" s="8"/>
      <c r="M47" s="9"/>
      <c r="N47" s="10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11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4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88" t="s">
        <v>190</v>
      </c>
      <c r="B48" s="88" t="s">
        <v>191</v>
      </c>
      <c r="C48" t="s">
        <v>147</v>
      </c>
      <c r="D48" t="s">
        <v>45</v>
      </c>
      <c r="E48" t="s">
        <v>184</v>
      </c>
      <c r="G48" s="6" t="str">
        <f xml:space="preserve"> IF( OR(RIGHT(KeyTable[[#This Row],[StyleName]], 4) = "Date", RIGHT(KeyTable[[#This Row],[StyleName]], 3) = "Val"), "OCRB", "Bahnschrift")</f>
        <v>OCRB</v>
      </c>
      <c r="H48" s="66" t="s">
        <v>53</v>
      </c>
      <c r="I48" s="1" t="s">
        <v>185</v>
      </c>
      <c r="J48" s="1"/>
      <c r="K48" s="7" t="s">
        <v>103</v>
      </c>
      <c r="L48" s="8"/>
      <c r="M48" s="9"/>
      <c r="N48" s="10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11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4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89" t="s">
        <v>192</v>
      </c>
      <c r="B49" s="89" t="s">
        <v>193</v>
      </c>
      <c r="C49" t="s">
        <v>147</v>
      </c>
      <c r="D49" t="s">
        <v>45</v>
      </c>
      <c r="E49" t="s">
        <v>184</v>
      </c>
      <c r="G49" s="6" t="str">
        <f xml:space="preserve"> IF( OR(RIGHT(KeyTable[[#This Row],[StyleName]], 4) = "Date", RIGHT(KeyTable[[#This Row],[StyleName]], 3) = "Val"), "OCRB", "Bahnschrift")</f>
        <v>Bahnschrift</v>
      </c>
      <c r="H49" s="66" t="s">
        <v>53</v>
      </c>
      <c r="I49" s="1" t="s">
        <v>185</v>
      </c>
      <c r="J49" s="1"/>
      <c r="K49" s="7" t="s">
        <v>106</v>
      </c>
      <c r="L49" s="8"/>
      <c r="M49" s="9"/>
      <c r="N49" s="10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11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4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90" t="s">
        <v>194</v>
      </c>
      <c r="B50" s="90" t="s">
        <v>195</v>
      </c>
      <c r="C50" t="s">
        <v>196</v>
      </c>
      <c r="D50" t="s">
        <v>45</v>
      </c>
      <c r="E50" t="s">
        <v>184</v>
      </c>
      <c r="F50" t="s">
        <v>197</v>
      </c>
      <c r="G50" s="6" t="str">
        <f xml:space="preserve"> IF( OR(RIGHT(KeyTable[[#This Row],[StyleName]], 4) = "Date", RIGHT(KeyTable[[#This Row],[StyleName]], 3) = "Val"), "OCRB", "Bahnschrift")</f>
        <v>Bahnschrift</v>
      </c>
      <c r="H50" s="7" t="s">
        <v>185</v>
      </c>
      <c r="I50" s="1" t="s">
        <v>185</v>
      </c>
      <c r="J50" s="1" t="s">
        <v>185</v>
      </c>
      <c r="K50" s="43" t="s">
        <v>103</v>
      </c>
      <c r="L50" s="44"/>
      <c r="M50" s="91"/>
      <c r="N50" s="10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11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4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2" t="s">
        <v>198</v>
      </c>
      <c r="C52" s="112"/>
      <c r="D52" s="112"/>
      <c r="E52" s="112"/>
      <c r="I52" s="1"/>
      <c r="J52" s="1"/>
      <c r="K52" s="1"/>
      <c r="L52" s="1"/>
      <c r="M52" s="1"/>
    </row>
    <row r="53" spans="1:16" x14ac:dyDescent="0.2">
      <c r="B53" s="92" t="s">
        <v>199</v>
      </c>
      <c r="C53" s="93" t="s">
        <v>200</v>
      </c>
      <c r="D53" s="94" t="s">
        <v>201</v>
      </c>
      <c r="E53" s="95" t="s">
        <v>202</v>
      </c>
      <c r="I53" s="1"/>
      <c r="J53" s="1"/>
      <c r="K53" s="1"/>
      <c r="L53" s="1"/>
      <c r="M53" s="1"/>
    </row>
    <row r="54" spans="1:16" x14ac:dyDescent="0.2">
      <c r="B54" s="96" t="s">
        <v>203</v>
      </c>
      <c r="C54" s="97" t="s">
        <v>204</v>
      </c>
      <c r="D54" s="98" t="s">
        <v>205</v>
      </c>
      <c r="E54" s="99" t="s">
        <v>206</v>
      </c>
      <c r="I54" s="1"/>
      <c r="J54" s="1"/>
      <c r="K54" s="1"/>
      <c r="L54" s="1"/>
      <c r="M54" s="1"/>
    </row>
    <row r="55" spans="1:16" x14ac:dyDescent="0.2">
      <c r="B55" s="96" t="s">
        <v>207</v>
      </c>
      <c r="C55" s="100" t="s">
        <v>208</v>
      </c>
      <c r="D55" s="101" t="s">
        <v>209</v>
      </c>
      <c r="E55" s="102" t="s">
        <v>210</v>
      </c>
      <c r="I55" s="1"/>
      <c r="J55" s="1"/>
      <c r="K55" s="1"/>
      <c r="L55" s="1"/>
      <c r="M55" s="1"/>
    </row>
    <row r="56" spans="1:16" x14ac:dyDescent="0.2">
      <c r="B56" s="103" t="s">
        <v>211</v>
      </c>
      <c r="C56" s="104" t="s">
        <v>211</v>
      </c>
      <c r="D56" s="105" t="s">
        <v>211</v>
      </c>
      <c r="E56" s="106" t="s">
        <v>212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09" t="s">
        <v>213</v>
      </c>
      <c r="C58" s="110"/>
      <c r="D58" s="111"/>
      <c r="I58" s="1"/>
      <c r="J58" s="1"/>
      <c r="K58" s="1"/>
      <c r="L58" s="1"/>
      <c r="M58" s="1"/>
    </row>
    <row r="59" spans="1:16" x14ac:dyDescent="0.2">
      <c r="B59" t="s">
        <v>214</v>
      </c>
      <c r="C59" t="s">
        <v>215</v>
      </c>
      <c r="D59" s="13" t="s">
        <v>216</v>
      </c>
      <c r="I59" s="1"/>
      <c r="J59" s="1"/>
      <c r="K59" s="1"/>
      <c r="L59" s="1"/>
      <c r="M59" s="1"/>
    </row>
    <row r="60" spans="1:16" x14ac:dyDescent="0.2">
      <c r="B60" t="s">
        <v>217</v>
      </c>
      <c r="C60" t="s">
        <v>218</v>
      </c>
      <c r="D60" s="6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219</v>
      </c>
      <c r="D61" s="6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220</v>
      </c>
      <c r="D62" s="107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09" t="s">
        <v>221</v>
      </c>
      <c r="C64" s="110"/>
      <c r="D64" s="111"/>
      <c r="I64" s="1"/>
      <c r="J64" s="1"/>
      <c r="K64" s="1"/>
      <c r="L64" s="1"/>
      <c r="M64" s="1"/>
    </row>
    <row r="65" spans="2:13" x14ac:dyDescent="0.2">
      <c r="B65" t="s">
        <v>222</v>
      </c>
      <c r="C65" t="s">
        <v>223</v>
      </c>
      <c r="D65" s="13" t="s">
        <v>224</v>
      </c>
      <c r="I65" s="1"/>
      <c r="J65" s="1"/>
      <c r="K65" s="1"/>
      <c r="L65" s="1"/>
      <c r="M65" s="1"/>
    </row>
    <row r="66" spans="2:13" x14ac:dyDescent="0.2">
      <c r="B66" t="s">
        <v>225</v>
      </c>
      <c r="D66" s="108">
        <f t="shared" ref="D66:D67" si="0"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226</v>
      </c>
      <c r="D67" s="108">
        <f t="shared" si="0"/>
        <v>0.5</v>
      </c>
      <c r="I67" s="1"/>
      <c r="J67" s="1"/>
      <c r="K67" s="1"/>
      <c r="L67" s="1"/>
      <c r="M67" s="1"/>
    </row>
    <row r="68" spans="2:13" x14ac:dyDescent="0.2">
      <c r="B68" t="s">
        <v>220</v>
      </c>
      <c r="C68" t="str">
        <f>COUNTIF(IntSampleTable[Internal2],"")    &amp;     " Blank Cells"</f>
        <v>2 Blank Cells</v>
      </c>
      <c r="D68" s="13" t="str">
        <f>"Total: "&amp; SUBTOTAL(109,IntSampleTable[CalcColumn3])*100 &amp;"%"</f>
        <v>Total: 100%</v>
      </c>
    </row>
    <row r="70" spans="2:13" ht="19.5" x14ac:dyDescent="0.2">
      <c r="B70" s="109" t="s">
        <v>227</v>
      </c>
      <c r="C70" s="110"/>
      <c r="D70" s="111"/>
    </row>
    <row r="71" spans="2:13" x14ac:dyDescent="0.2">
      <c r="B71" t="s">
        <v>228</v>
      </c>
      <c r="C71" t="s">
        <v>229</v>
      </c>
      <c r="D71" s="13" t="s">
        <v>224</v>
      </c>
    </row>
    <row r="72" spans="2:13" x14ac:dyDescent="0.2">
      <c r="B72" t="s">
        <v>230</v>
      </c>
      <c r="C72" t="s">
        <v>231</v>
      </c>
      <c r="D72" s="6" t="b">
        <f>QuerySampleTable[[#This Row],[QueryColumn2]]  = "Query Value"</f>
        <v>1</v>
      </c>
    </row>
    <row r="73" spans="2:13" x14ac:dyDescent="0.2">
      <c r="B73" t="s">
        <v>232</v>
      </c>
      <c r="C73" t="s">
        <v>233</v>
      </c>
      <c r="D73" s="6" t="b">
        <f>QuerySampleTable[[#This Row],[QueryColumn2]]  = "Query Value"</f>
        <v>0</v>
      </c>
    </row>
    <row r="74" spans="2:13" x14ac:dyDescent="0.2">
      <c r="B74" t="s">
        <v>220</v>
      </c>
      <c r="C74" t="str">
        <f>COUNTIF(QuerySampleTable[QueryColumn2],"* Error")&amp;" Error in Col"</f>
        <v>1 Error in Col</v>
      </c>
      <c r="D74" s="13" t="str">
        <f>IF(_xlfn.XMATCH(FALSE, QuerySampleTable[CalcColumn3],0,1) &gt; 0,  "&gt;0  Falses in Column", "Column Good")</f>
        <v>&gt;0  Falses in Column</v>
      </c>
    </row>
    <row r="76" spans="2:13" ht="19.5" x14ac:dyDescent="0.2">
      <c r="B76" s="109" t="s">
        <v>234</v>
      </c>
      <c r="C76" s="110"/>
      <c r="D76" s="111"/>
    </row>
    <row r="77" spans="2:13" x14ac:dyDescent="0.2">
      <c r="B77" t="s">
        <v>37</v>
      </c>
      <c r="C77" t="s">
        <v>38</v>
      </c>
      <c r="D77" t="s">
        <v>39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68" priority="4">
      <formula>S3="BadValue"</formula>
    </cfRule>
  </conditionalFormatting>
  <conditionalFormatting sqref="U3:U21">
    <cfRule type="expression" dxfId="67" priority="3">
      <formula>$S3="BadValue"</formula>
    </cfRule>
  </conditionalFormatting>
  <conditionalFormatting sqref="R3:R21">
    <cfRule type="expression" dxfId="66" priority="2">
      <formula>ISBLANK(R3)</formula>
    </cfRule>
  </conditionalFormatting>
  <conditionalFormatting sqref="T3:T21">
    <cfRule type="expression" dxfId="65" priority="5">
      <formula>NOT($W$3)</formula>
    </cfRule>
  </conditionalFormatting>
  <conditionalFormatting sqref="T2">
    <cfRule type="expression" dxfId="64" priority="6">
      <formula>NOT($W$3)</formula>
    </cfRule>
  </conditionalFormatting>
  <conditionalFormatting sqref="C72:C73">
    <cfRule type="expression" dxfId="63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P7"/>
  <sheetViews>
    <sheetView workbookViewId="0">
      <selection activeCell="E22" sqref="E22"/>
    </sheetView>
  </sheetViews>
  <sheetFormatPr defaultRowHeight="14.25" x14ac:dyDescent="0.2"/>
  <cols>
    <col min="1" max="1" width="6" bestFit="1" customWidth="1"/>
    <col min="2" max="2" width="3.6640625" bestFit="1" customWidth="1"/>
    <col min="3" max="3" width="8.77734375" customWidth="1"/>
    <col min="4" max="4" width="5" bestFit="1" customWidth="1"/>
    <col min="5" max="5" width="6" bestFit="1" customWidth="1"/>
    <col min="6" max="6" width="3.6640625" bestFit="1" customWidth="1"/>
    <col min="7" max="7" width="3.10937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</cols>
  <sheetData>
    <row r="1" spans="1:16" ht="19.5" x14ac:dyDescent="0.2">
      <c r="A1" s="109" t="s">
        <v>0</v>
      </c>
      <c r="B1" s="110"/>
      <c r="C1" s="110"/>
      <c r="D1" s="110"/>
      <c r="E1" s="110"/>
      <c r="F1" s="110"/>
      <c r="G1" s="111"/>
      <c r="I1" s="113" t="s">
        <v>1</v>
      </c>
      <c r="J1" s="114"/>
      <c r="K1" s="114"/>
      <c r="L1" s="114"/>
      <c r="M1" s="114"/>
      <c r="N1" s="115"/>
      <c r="O1" s="116"/>
      <c r="P1" s="116"/>
    </row>
    <row r="2" spans="1:16" x14ac:dyDescent="0.2">
      <c r="A2" s="1" t="s">
        <v>2</v>
      </c>
      <c r="B2" s="1" t="s">
        <v>3</v>
      </c>
      <c r="D2" s="117" t="s">
        <v>4</v>
      </c>
      <c r="E2" s="118"/>
      <c r="F2" s="119" t="s">
        <v>5</v>
      </c>
      <c r="G2" s="120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16"/>
      <c r="P2" s="116"/>
    </row>
    <row r="3" spans="1:16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16"/>
      <c r="P3" s="116"/>
    </row>
    <row r="4" spans="1:16" x14ac:dyDescent="0.2">
      <c r="A4" s="1" t="b">
        <v>0</v>
      </c>
      <c r="B4" s="1" t="s">
        <v>15</v>
      </c>
      <c r="D4" s="3" t="b" cm="1">
        <f t="array" aca="1" ref="D4" ca="1">OFFSET( BoolName, 0, 0, 1, 1)</f>
        <v>1</v>
      </c>
      <c r="E4" s="3" t="b" cm="1">
        <f t="array" aca="1" ref="E4" ca="1">OFFSET( BoolName, 1, 0, 1, 1)</f>
        <v>0</v>
      </c>
      <c r="F4" s="3" t="str">
        <f ca="1">OFFSET( YNTable[], 0, 0, 1, 1)</f>
        <v>Yes</v>
      </c>
      <c r="G4" s="3" t="str">
        <f ca="1">OFFSET( YNTable[], 1, 0, 1, 1)</f>
        <v>No</v>
      </c>
    </row>
    <row r="6" spans="1:16" x14ac:dyDescent="0.2">
      <c r="A6" s="1" t="s">
        <v>16</v>
      </c>
    </row>
    <row r="7" spans="1:16" x14ac:dyDescent="0.2">
      <c r="A7" s="1" t="s">
        <v>17</v>
      </c>
    </row>
  </sheetData>
  <mergeCells count="5">
    <mergeCell ref="A1:G1"/>
    <mergeCell ref="I1:N1"/>
    <mergeCell ref="O1:P3"/>
    <mergeCell ref="D2:E2"/>
    <mergeCell ref="F2:G2"/>
  </mergeCells>
  <dataValidations count="1">
    <dataValidation type="list" allowBlank="1" sqref="L3:N3" xr:uid="{3C74D6F8-4506-4B57-82EE-FFA1EEBFA496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tabSelected="1" workbookViewId="0">
      <selection activeCell="E7" sqref="E7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2021-10-07T16:10:17Z</dcterms:modified>
</cp:coreProperties>
</file>