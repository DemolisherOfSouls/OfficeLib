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workbookPr defaultThemeVersion="166925"/>
  <mc:AlternateContent xmlns:mc="http://schemas.openxmlformats.org/markup-compatibility/2006">
    <mc:Choice Requires="x15">
      <x15ac:absPath xmlns:x15ac="http://schemas.microsoft.com/office/spreadsheetml/2010/11/ac" url="G:\Important\"/>
    </mc:Choice>
  </mc:AlternateContent>
  <xr:revisionPtr revIDLastSave="0" documentId="13_ncr:1_{AEBDFA39-A93F-4BBB-8E5C-827405AD4BAA}" xr6:coauthVersionLast="45" xr6:coauthVersionMax="45" xr10:uidLastSave="{00000000-0000-0000-0000-000000000000}"/>
  <bookViews>
    <workbookView xWindow="-120" yWindow="-120" windowWidth="29040" windowHeight="15840" xr2:uid="{D099C927-7E7A-4799-8725-69E24790C988}"/>
  </bookViews>
  <sheets>
    <sheet name="Key" sheetId="1" r:id="rId1"/>
    <sheet name="List" sheetId="2" r:id="rId2"/>
    <sheet name="Sheet1" sheetId="3" r:id="rId3"/>
  </sheets>
  <definedNames>
    <definedName name="BoolName">BoolTable[Bool]</definedName>
    <definedName name="BoolNo">BoolValueTable[N]</definedName>
    <definedName name="BoolYes">BoolValueTable[Y]</definedName>
    <definedName name="LNF" comment="Lookup Not Found">LNFTable[Str]</definedName>
    <definedName name="SampleSlicer">#N/A</definedName>
    <definedName name="SampleSlicer2">#N/A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2" l="1" a="1"/>
  <c r="D3" i="2" s="1"/>
  <c r="C3" i="2" a="1"/>
  <c r="C3" i="2" s="1"/>
  <c r="D42" i="1"/>
  <c r="D37" i="1"/>
  <c r="D32" i="1"/>
  <c r="L3" i="1" l="1" a="1"/>
  <c r="L3" i="1" s="1"/>
  <c r="L9" i="1" a="1"/>
  <c r="L9" i="1" s="1"/>
  <c r="L15" i="1" a="1"/>
  <c r="L15" i="1" s="1"/>
  <c r="L21" i="1" a="1"/>
  <c r="L21" i="1" s="1"/>
  <c r="L4" i="1" a="1"/>
  <c r="L4" i="1" s="1"/>
  <c r="L10" i="1" a="1"/>
  <c r="L10" i="1" s="1"/>
  <c r="L16" i="1" a="1"/>
  <c r="L16" i="1" s="1"/>
  <c r="L5" i="1" a="1"/>
  <c r="L5" i="1" s="1"/>
  <c r="L11" i="1" a="1"/>
  <c r="L11" i="1" s="1"/>
  <c r="L17" i="1" a="1"/>
  <c r="L17" i="1" s="1"/>
  <c r="L13" i="1" a="1"/>
  <c r="L13" i="1" s="1"/>
  <c r="L14" i="1" a="1"/>
  <c r="L14" i="1" s="1"/>
  <c r="L6" i="1" a="1"/>
  <c r="L6" i="1" s="1"/>
  <c r="L18" i="1" a="1"/>
  <c r="L18" i="1" s="1"/>
  <c r="L7" i="1" a="1"/>
  <c r="L7" i="1" s="1"/>
  <c r="L19" i="1" a="1"/>
  <c r="L19" i="1" s="1"/>
  <c r="L20" i="1" a="1"/>
  <c r="L20" i="1" s="1"/>
  <c r="L12" i="1" a="1"/>
  <c r="L12" i="1" s="1"/>
  <c r="L8" i="1" a="1"/>
  <c r="L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<sst xmlns="http://schemas.openxmlformats.org/spreadsheetml/2006/main" count="185" uniqueCount="105">
  <si>
    <t>Table Color Explanations</t>
  </si>
  <si>
    <t>Cell Name</t>
  </si>
  <si>
    <t>Where Used</t>
  </si>
  <si>
    <t>Typing Notes</t>
  </si>
  <si>
    <t>Warnings</t>
  </si>
  <si>
    <t>BgColor</t>
  </si>
  <si>
    <t>TxColor</t>
  </si>
  <si>
    <t>PtColor</t>
  </si>
  <si>
    <t>Calculated Cell Title</t>
  </si>
  <si>
    <t>Table Headers, Total Rows</t>
  </si>
  <si>
    <t>Do not type in this cell</t>
  </si>
  <si>
    <t>Cell may contain a formula or header</t>
  </si>
  <si>
    <t>#A5A5A5</t>
  </si>
  <si>
    <t>#000000</t>
  </si>
  <si>
    <t>Calculated Cell</t>
  </si>
  <si>
    <t>Tables, Output Cells</t>
  </si>
  <si>
    <t>Cell will contain a formula</t>
  </si>
  <si>
    <t>#C9C9C9</t>
  </si>
  <si>
    <t>Input Header</t>
  </si>
  <si>
    <t>Table Headers</t>
  </si>
  <si>
    <t>Cell will contain a header</t>
  </si>
  <si>
    <t>#E6AF00</t>
  </si>
  <si>
    <t>Input Special</t>
  </si>
  <si>
    <t>Total Rows, Input Cells</t>
  </si>
  <si>
    <t>Type in this cell</t>
  </si>
  <si>
    <t>None</t>
  </si>
  <si>
    <t>#FFC000</t>
  </si>
  <si>
    <t>Input Cell</t>
  </si>
  <si>
    <t>Tables, Input Cells</t>
  </si>
  <si>
    <t>#FFD966</t>
  </si>
  <si>
    <t>Item Label</t>
  </si>
  <si>
    <t>Top of Sheets, Tables, &amp; Objects</t>
  </si>
  <si>
    <t>#00B050</t>
  </si>
  <si>
    <t>Item Label Data Cell</t>
  </si>
  <si>
    <t>#92D050</t>
  </si>
  <si>
    <t>Key Header</t>
  </si>
  <si>
    <t>#70AD47</t>
  </si>
  <si>
    <t>Key Cell</t>
  </si>
  <si>
    <t>Tables</t>
  </si>
  <si>
    <t>Check for formulas before typing</t>
  </si>
  <si>
    <t>Cell may contain a formula</t>
  </si>
  <si>
    <t>#A9D08E</t>
  </si>
  <si>
    <t>Lookup Header</t>
  </si>
  <si>
    <t>#5B9BD5</t>
  </si>
  <si>
    <t>Lookup Cell</t>
  </si>
  <si>
    <t>#9BC2E6</t>
  </si>
  <si>
    <t>Active Error Cell</t>
  </si>
  <si>
    <t>This cell has an error</t>
  </si>
  <si>
    <t>#FF0000</t>
  </si>
  <si>
    <t>#FF7C80</t>
  </si>
  <si>
    <t>Error Cell Header</t>
  </si>
  <si>
    <t>Cell in this row/column has an error</t>
  </si>
  <si>
    <t>#FF5050</t>
  </si>
  <si>
    <t>Related Cell Error</t>
  </si>
  <si>
    <t>Related cell has an error</t>
  </si>
  <si>
    <t>Deactivated Cell</t>
  </si>
  <si>
    <t>Tables, Input Cells, Output Cells</t>
  </si>
  <si>
    <t>Cell has been deactivated by a formula</t>
  </si>
  <si>
    <t>#808080</t>
  </si>
  <si>
    <t>#A6A6A6</t>
  </si>
  <si>
    <t>Internal Key Header</t>
  </si>
  <si>
    <t>Cell changes may cause loss of functionality</t>
  </si>
  <si>
    <t>#8138B8</t>
  </si>
  <si>
    <t>Internal Header</t>
  </si>
  <si>
    <t>#954FC9</t>
  </si>
  <si>
    <t>Internal Key</t>
  </si>
  <si>
    <t>#A76ED2</t>
  </si>
  <si>
    <t>Internal Cell</t>
  </si>
  <si>
    <t>#B686DA</t>
  </si>
  <si>
    <t>Other Cell Styles</t>
  </si>
  <si>
    <t>Normal Text</t>
  </si>
  <si>
    <t>Condensed Text</t>
  </si>
  <si>
    <t>HyperLink</t>
  </si>
  <si>
    <t>OCRB 11pt</t>
  </si>
  <si>
    <t>Bahnschrift Condensed 11pt</t>
  </si>
  <si>
    <t>#0563C1 Bold OCRB 11pt</t>
  </si>
  <si>
    <t>Key1</t>
  </si>
  <si>
    <t>InputColumn2</t>
  </si>
  <si>
    <t>CalcColumn3</t>
  </si>
  <si>
    <t>Total</t>
  </si>
  <si>
    <t>Internal2</t>
  </si>
  <si>
    <t>QueryColumn2</t>
  </si>
  <si>
    <t>Bool</t>
  </si>
  <si>
    <t>Boolean</t>
  </si>
  <si>
    <t>Y</t>
  </si>
  <si>
    <t>N</t>
  </si>
  <si>
    <t>Cell will contain a formula or query output</t>
  </si>
  <si>
    <t>Cell will contain a formula or critical value</t>
  </si>
  <si>
    <t>BoolValues</t>
  </si>
  <si>
    <t>LNF</t>
  </si>
  <si>
    <t>Column1</t>
  </si>
  <si>
    <t>Str</t>
  </si>
  <si>
    <t>N/A</t>
  </si>
  <si>
    <t>Column2</t>
  </si>
  <si>
    <t>Column3</t>
  </si>
  <si>
    <t>Conditional Formatting</t>
  </si>
  <si>
    <t>Result</t>
  </si>
  <si>
    <t>Value</t>
  </si>
  <si>
    <t>BadValue</t>
  </si>
  <si>
    <t>Caution</t>
  </si>
  <si>
    <t>Deactivated Header</t>
  </si>
  <si>
    <t>#595959</t>
  </si>
  <si>
    <t>Column has been deactivated by a formula</t>
  </si>
  <si>
    <t>Options</t>
  </si>
  <si>
    <t>UseCol3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</si>
</sst>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0\ &quot;ft&quot;;[Red]0.00\ &quot;ft&quot;"/>
    <numFmt numFmtId="165" formatCode="0.0\ &quot;ft&quot;;[Red]0.0\ &quot;ft&quot;"/>
  </numFmts>
  <fonts count="24" x14ac:knownFonts="1">
    <font>
      <sz val="11"/>
      <color theme="1"/>
      <name val="OCRB"/>
      <family val="3"/>
    </font>
    <font>
      <sz val="11"/>
      <color theme="1"/>
      <name val="Calibri"/>
      <family val="2"/>
    </font>
    <font>
      <sz val="11"/>
      <color theme="1"/>
      <name val="OCRB"/>
      <family val="3"/>
    </font>
    <font>
      <sz val="11"/>
      <color theme="1"/>
      <name val="Bahnschrift Condensed"/>
      <family val="2"/>
    </font>
    <font>
      <sz val="11"/>
      <color theme="0" tint="-0.34998626667073579"/>
      <name val="OCRB"/>
      <family val="3"/>
    </font>
    <font>
      <b/>
      <u/>
      <sz val="11"/>
      <color theme="10"/>
      <name val="OCRB"/>
      <family val="3"/>
    </font>
    <font>
      <sz val="18"/>
      <color theme="3"/>
      <name val="Calibri Light"/>
      <family val="2"/>
      <scheme val="major"/>
    </font>
    <font>
      <b/>
      <sz val="15"/>
      <color theme="3"/>
      <name val="Calibri"/>
      <family val="2"/>
    </font>
    <font>
      <b/>
      <sz val="13"/>
      <color theme="3"/>
      <name val="Calibri"/>
      <family val="2"/>
    </font>
    <font>
      <b/>
      <sz val="11"/>
      <color theme="3"/>
      <name val="Calibri"/>
      <family val="2"/>
    </font>
    <font>
      <sz val="11"/>
      <color rgb="FF006100"/>
      <name val="Calibri"/>
      <family val="2"/>
    </font>
    <font>
      <sz val="11"/>
      <color rgb="FF9C0006"/>
      <name val="Calibri"/>
      <family val="2"/>
    </font>
    <font>
      <sz val="11"/>
      <color rgb="FF9C5700"/>
      <name val="Calibri"/>
      <family val="2"/>
    </font>
    <font>
      <sz val="11"/>
      <color rgb="FF3F3F76"/>
      <name val="Calibri"/>
      <family val="2"/>
    </font>
    <font>
      <b/>
      <sz val="11"/>
      <color rgb="FF3F3F3F"/>
      <name val="Calibri"/>
      <family val="2"/>
    </font>
    <font>
      <b/>
      <sz val="11"/>
      <color rgb="FFFA7D00"/>
      <name val="Calibri"/>
      <family val="2"/>
    </font>
    <font>
      <sz val="11"/>
      <color rgb="FFFA7D00"/>
      <name val="Calibri"/>
      <family val="2"/>
    </font>
    <font>
      <b/>
      <sz val="11"/>
      <color theme="0"/>
      <name val="Calibri"/>
      <family val="2"/>
    </font>
    <font>
      <sz val="11"/>
      <color rgb="FFFF0000"/>
      <name val="Calibri"/>
      <family val="2"/>
    </font>
    <font>
      <i/>
      <sz val="11"/>
      <color rgb="FF7F7F7F"/>
      <name val="Calibri"/>
      <family val="2"/>
    </font>
    <font>
      <b/>
      <sz val="11"/>
      <color theme="1"/>
      <name val="Calibri"/>
      <family val="2"/>
    </font>
    <font>
      <sz val="11"/>
      <color theme="0"/>
      <name val="Calibri"/>
      <family val="2"/>
    </font>
    <font>
      <sz val="8"/>
      <name val="OCRB"/>
      <family val="3"/>
    </font>
    <font>
      <sz val="11"/>
      <color rgb="FF808080"/>
      <name val="OCRB"/>
      <family val="3"/>
    </font>
  </fonts>
  <fills count="55">
    <fill>
      <patternFill patternType="none"/>
    </fill>
    <fill>
      <patternFill patternType="gray125"/>
    </fill>
    <fill>
      <patternFill patternType="solid">
        <fgColor rgb="FF00B050"/>
        <bgColor indexed="64"/>
      </patternFill>
    </fill>
    <fill>
      <patternFill patternType="solid">
        <fgColor rgb="FFA76ED2"/>
        <bgColor indexed="64"/>
      </patternFill>
    </fill>
    <fill>
      <patternFill patternType="solid">
        <fgColor theme="6"/>
        <bgColor indexed="64"/>
      </patternFill>
    </fill>
    <fill>
      <patternFill patternType="solid">
        <fgColor theme="6" tint="0.39997558519241921"/>
        <bgColor indexed="64"/>
      </patternFill>
    </fill>
    <fill>
      <patternFill patternType="solid">
        <fgColor rgb="FFE6AF00"/>
        <bgColor indexed="64"/>
      </patternFill>
    </fill>
    <fill>
      <patternFill patternType="solid">
        <fgColor theme="7"/>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bgColor indexed="64"/>
      </patternFill>
    </fill>
    <fill>
      <patternFill patternType="solid">
        <fgColor theme="9" tint="0.39997558519241921"/>
        <bgColor indexed="64"/>
      </patternFill>
    </fill>
    <fill>
      <patternFill patternType="solid">
        <fgColor rgb="FFA9D08E"/>
        <bgColor indexed="64"/>
      </patternFill>
    </fill>
    <fill>
      <patternFill patternType="solid">
        <fgColor theme="8"/>
        <bgColor indexed="64"/>
      </patternFill>
    </fill>
    <fill>
      <patternFill patternType="solid">
        <fgColor theme="8" tint="0.39997558519241921"/>
        <bgColor indexed="64"/>
      </patternFill>
    </fill>
    <fill>
      <patternFill patternType="darkDown">
        <fgColor rgb="FFFF7C80"/>
        <bgColor rgb="FFFF0000"/>
      </patternFill>
    </fill>
    <fill>
      <patternFill patternType="solid">
        <fgColor rgb="FFFF5050"/>
        <bgColor indexed="64"/>
      </patternFill>
    </fill>
    <fill>
      <patternFill patternType="solid">
        <fgColor rgb="FFFF7C80"/>
        <bgColor indexed="64"/>
      </patternFill>
    </fill>
    <fill>
      <patternFill patternType="solid">
        <fgColor theme="0" tint="-0.499984740745262"/>
        <bgColor indexed="64"/>
      </patternFill>
    </fill>
    <fill>
      <patternFill patternType="solid">
        <fgColor rgb="FF8138B8"/>
        <bgColor indexed="64"/>
      </patternFill>
    </fill>
    <fill>
      <patternFill patternType="solid">
        <fgColor rgb="FF954FC9"/>
        <bgColor indexed="64"/>
      </patternFill>
    </fill>
    <fill>
      <patternFill patternType="solid">
        <fgColor rgb="FFB686DA"/>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595959"/>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8">
    <xf numFmtId="0" fontId="0" fillId="0" borderId="0"/>
    <xf numFmtId="0" fontId="2" fillId="2" borderId="1" applyNumberFormat="0">
      <alignment horizontal="center" vertical="center"/>
    </xf>
    <xf numFmtId="0" fontId="2" fillId="3" borderId="1" applyNumberFormat="0" applyAlignment="0"/>
    <xf numFmtId="0" fontId="2" fillId="4" borderId="1" applyNumberFormat="0" applyAlignment="0"/>
    <xf numFmtId="164" fontId="2" fillId="5" borderId="1" applyNumberFormat="0" applyAlignment="0"/>
    <xf numFmtId="0" fontId="2" fillId="6" borderId="1" applyNumberFormat="0" applyAlignment="0"/>
    <xf numFmtId="0" fontId="2" fillId="7" borderId="1" applyNumberFormat="0" applyAlignment="0"/>
    <xf numFmtId="165" fontId="2" fillId="8" borderId="1" applyNumberFormat="0" applyAlignment="0">
      <protection locked="0"/>
    </xf>
    <xf numFmtId="0" fontId="2" fillId="9" borderId="1" applyNumberFormat="0" applyAlignment="0"/>
    <xf numFmtId="0" fontId="2" fillId="10" borderId="1" applyNumberFormat="0" applyAlignment="0"/>
    <xf numFmtId="0" fontId="2" fillId="11" borderId="1" applyNumberFormat="0" applyAlignment="0" applyProtection="0"/>
    <xf numFmtId="0" fontId="2" fillId="13" borderId="1" applyNumberFormat="0" applyAlignment="0"/>
    <xf numFmtId="0" fontId="2" fillId="14" borderId="1" applyNumberFormat="0" applyAlignment="0"/>
    <xf numFmtId="0" fontId="2" fillId="15" borderId="1" applyNumberFormat="0" applyAlignment="0"/>
    <xf numFmtId="0" fontId="2" fillId="16" borderId="1" applyNumberFormat="0" applyAlignment="0"/>
    <xf numFmtId="0" fontId="2" fillId="17" borderId="1" applyNumberFormat="0" applyAlignment="0"/>
    <xf numFmtId="0" fontId="4" fillId="18" borderId="1" applyNumberFormat="0" applyAlignment="0"/>
    <xf numFmtId="0" fontId="2" fillId="19" borderId="1" applyNumberFormat="0" applyAlignment="0"/>
    <xf numFmtId="0" fontId="2" fillId="20" borderId="1" applyNumberFormat="0" applyAlignment="0"/>
    <xf numFmtId="0" fontId="2" fillId="21" borderId="1" applyNumberFormat="0" applyAlignment="0"/>
    <xf numFmtId="0" fontId="3" fillId="21" borderId="1" applyNumberFormat="0" applyFill="0" applyBorder="0" applyAlignment="0" applyProtection="0"/>
    <xf numFmtId="0" fontId="5" fillId="0" borderId="0" applyNumberForma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9" fontId="2" fillId="0" borderId="0" applyFont="0" applyFill="0" applyBorder="0" applyAlignment="0" applyProtection="0"/>
    <xf numFmtId="0" fontId="6" fillId="0" borderId="0" applyNumberFormat="0" applyFill="0" applyBorder="0" applyAlignment="0" applyProtection="0"/>
    <xf numFmtId="0" fontId="7" fillId="0" borderId="7" applyNumberFormat="0" applyFill="0" applyAlignment="0" applyProtection="0"/>
    <xf numFmtId="0" fontId="8" fillId="0" borderId="8" applyNumberFormat="0" applyFill="0" applyAlignment="0" applyProtection="0"/>
    <xf numFmtId="0" fontId="9" fillId="0" borderId="9" applyNumberFormat="0" applyFill="0" applyAlignment="0" applyProtection="0"/>
    <xf numFmtId="0" fontId="9" fillId="0" borderId="0" applyNumberFormat="0" applyFill="0" applyBorder="0" applyAlignment="0" applyProtection="0"/>
    <xf numFmtId="0" fontId="10" fillId="22" borderId="0" applyNumberFormat="0" applyBorder="0" applyAlignment="0" applyProtection="0"/>
    <xf numFmtId="0" fontId="11" fillId="23" borderId="0" applyNumberFormat="0" applyBorder="0" applyAlignment="0" applyProtection="0"/>
    <xf numFmtId="0" fontId="12" fillId="24" borderId="0" applyNumberFormat="0" applyBorder="0" applyAlignment="0" applyProtection="0"/>
    <xf numFmtId="0" fontId="13" fillId="25" borderId="10" applyNumberFormat="0" applyAlignment="0" applyProtection="0"/>
    <xf numFmtId="0" fontId="14" fillId="26" borderId="11" applyNumberFormat="0" applyAlignment="0" applyProtection="0"/>
    <xf numFmtId="0" fontId="15" fillId="26" borderId="10" applyNumberFormat="0" applyAlignment="0" applyProtection="0"/>
    <xf numFmtId="0" fontId="16" fillId="0" borderId="12" applyNumberFormat="0" applyFill="0" applyAlignment="0" applyProtection="0"/>
    <xf numFmtId="0" fontId="17" fillId="27" borderId="13" applyNumberFormat="0" applyAlignment="0" applyProtection="0"/>
    <xf numFmtId="0" fontId="18" fillId="0" borderId="0" applyNumberFormat="0" applyFill="0" applyBorder="0" applyAlignment="0" applyProtection="0"/>
    <xf numFmtId="0" fontId="2" fillId="28" borderId="14" applyNumberFormat="0" applyFont="0" applyAlignment="0" applyProtection="0"/>
    <xf numFmtId="0" fontId="19" fillId="0" borderId="0" applyNumberFormat="0" applyFill="0" applyBorder="0" applyAlignment="0" applyProtection="0"/>
    <xf numFmtId="0" fontId="20" fillId="0" borderId="15" applyNumberFormat="0" applyFill="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21"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21"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21"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21"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cellStyleXfs>
  <cellXfs count="36">
    <xf numFmtId="0" fontId="0" fillId="0" borderId="0" xfId="0"/>
    <xf numFmtId="0" fontId="3" fillId="0" borderId="1" xfId="2" applyFont="1" applyFill="1"/>
    <xf numFmtId="0" fontId="2" fillId="4" borderId="1" xfId="3"/>
    <xf numFmtId="0" fontId="3" fillId="0" borderId="0" xfId="0" applyFont="1"/>
    <xf numFmtId="0" fontId="2" fillId="5" borderId="1" xfId="4" applyNumberFormat="1"/>
    <xf numFmtId="0" fontId="2" fillId="6" borderId="1" xfId="5"/>
    <xf numFmtId="0" fontId="2" fillId="7" borderId="1" xfId="6"/>
    <xf numFmtId="0" fontId="2" fillId="8" borderId="1" xfId="7" applyNumberFormat="1">
      <protection locked="0"/>
    </xf>
    <xf numFmtId="0" fontId="2" fillId="2" borderId="1" xfId="1" applyNumberFormat="1">
      <alignment horizontal="center" vertical="center"/>
    </xf>
    <xf numFmtId="0" fontId="2" fillId="9" borderId="1" xfId="8"/>
    <xf numFmtId="0" fontId="2" fillId="10" borderId="1" xfId="9"/>
    <xf numFmtId="0" fontId="2" fillId="12" borderId="1" xfId="10" applyFill="1"/>
    <xf numFmtId="0" fontId="2" fillId="13" borderId="1" xfId="11"/>
    <xf numFmtId="0" fontId="2" fillId="14" borderId="1" xfId="12"/>
    <xf numFmtId="0" fontId="2" fillId="15" borderId="1" xfId="13"/>
    <xf numFmtId="0" fontId="2" fillId="16" borderId="1" xfId="14"/>
    <xf numFmtId="0" fontId="2" fillId="17" borderId="1" xfId="15"/>
    <xf numFmtId="0" fontId="4" fillId="18" borderId="1" xfId="16"/>
    <xf numFmtId="0" fontId="2" fillId="19" borderId="1" xfId="17"/>
    <xf numFmtId="0" fontId="2" fillId="20" borderId="1" xfId="18"/>
    <xf numFmtId="0" fontId="2" fillId="3" borderId="1" xfId="2"/>
    <xf numFmtId="0" fontId="2" fillId="21" borderId="1" xfId="19"/>
    <xf numFmtId="0" fontId="2" fillId="2" borderId="5" xfId="1" applyBorder="1" applyAlignment="1">
      <alignment horizontal="center"/>
    </xf>
    <xf numFmtId="0" fontId="0" fillId="0" borderId="0" xfId="0" applyAlignment="1">
      <alignment horizontal="center"/>
    </xf>
    <xf numFmtId="0" fontId="2" fillId="2" borderId="1" xfId="1" applyAlignment="1">
      <alignment horizontal="center"/>
    </xf>
    <xf numFmtId="0" fontId="2" fillId="2" borderId="2" xfId="1" applyBorder="1" applyAlignment="1">
      <alignment horizontal="center"/>
    </xf>
    <xf numFmtId="0" fontId="2" fillId="2" borderId="3" xfId="1" applyBorder="1" applyAlignment="1">
      <alignment horizontal="center"/>
    </xf>
    <xf numFmtId="0" fontId="2" fillId="2" borderId="4" xfId="1" applyBorder="1" applyAlignment="1">
      <alignment horizontal="center"/>
    </xf>
    <xf numFmtId="0" fontId="0" fillId="53" borderId="5" xfId="0" applyFill="1" applyBorder="1" applyAlignment="1">
      <alignment horizontal="center"/>
    </xf>
    <xf numFmtId="0" fontId="3" fillId="53" borderId="5" xfId="20" applyFill="1" applyBorder="1" applyAlignment="1">
      <alignment horizontal="center"/>
    </xf>
    <xf numFmtId="0" fontId="5" fillId="53" borderId="5" xfId="21" applyFill="1" applyBorder="1" applyAlignment="1">
      <alignment horizontal="center"/>
    </xf>
    <xf numFmtId="0" fontId="0" fillId="53" borderId="6" xfId="0" applyFill="1" applyBorder="1" applyAlignment="1">
      <alignment horizontal="center"/>
    </xf>
    <xf numFmtId="0" fontId="3" fillId="53" borderId="6" xfId="20" applyFill="1" applyBorder="1" applyAlignment="1">
      <alignment horizontal="center"/>
    </xf>
    <xf numFmtId="0" fontId="3" fillId="0" borderId="0" xfId="0" applyFont="1" applyFill="1"/>
    <xf numFmtId="0" fontId="23" fillId="54" borderId="1" xfId="16" applyFont="1" applyFill="1"/>
    <xf numFmtId="0" fontId="2" fillId="2" borderId="5" xfId="1" applyBorder="1">
      <alignment horizontal="center" vertical="center"/>
    </xf>
  </cellXfs>
  <cellStyles count="68">
    <cellStyle name="20% - Accent1" xfId="45" builtinId="30" hidden="1"/>
    <cellStyle name="20% - Accent2" xfId="49" builtinId="34" hidden="1"/>
    <cellStyle name="20% - Accent3" xfId="53" builtinId="38" hidden="1"/>
    <cellStyle name="20% - Accent4" xfId="57" builtinId="42" hidden="1"/>
    <cellStyle name="20% - Accent5" xfId="61" builtinId="46" hidden="1"/>
    <cellStyle name="20% - Accent6" xfId="65" builtinId="50" hidden="1"/>
    <cellStyle name="40% - Accent1" xfId="46" builtinId="31" hidden="1"/>
    <cellStyle name="40% - Accent2" xfId="50" builtinId="35" hidden="1"/>
    <cellStyle name="40% - Accent3" xfId="54" builtinId="39" hidden="1"/>
    <cellStyle name="40% - Accent4" xfId="58" builtinId="43" hidden="1"/>
    <cellStyle name="40% - Accent5" xfId="62" builtinId="47" hidden="1"/>
    <cellStyle name="40% - Accent6" xfId="66" builtinId="51" hidden="1"/>
    <cellStyle name="60% - Accent1" xfId="47" builtinId="32" hidden="1"/>
    <cellStyle name="60% - Accent2" xfId="51" builtinId="36" hidden="1"/>
    <cellStyle name="60% - Accent3" xfId="55" builtinId="40" hidden="1"/>
    <cellStyle name="60% - Accent4" xfId="59" builtinId="44" hidden="1"/>
    <cellStyle name="60% - Accent5" xfId="63" builtinId="48" hidden="1"/>
    <cellStyle name="60% - Accent6" xfId="67" builtinId="52" hidden="1"/>
    <cellStyle name="Accent1" xfId="44" builtinId="29" hidden="1"/>
    <cellStyle name="Accent2" xfId="48" builtinId="33" hidden="1"/>
    <cellStyle name="Accent3" xfId="52" builtinId="37" hidden="1"/>
    <cellStyle name="Accent4" xfId="56" builtinId="41" hidden="1"/>
    <cellStyle name="Accent5" xfId="60" builtinId="45" hidden="1"/>
    <cellStyle name="Accent6" xfId="64" builtinId="49" hidden="1"/>
    <cellStyle name="Bad" xfId="33" builtinId="27" hidden="1"/>
    <cellStyle name="BoxCell" xfId="8" xr:uid="{A2D506CE-AF48-40FE-9E97-BBFF9C8DA32C}"/>
    <cellStyle name="BoxHead" xfId="1" xr:uid="{8F79BBCC-ABBB-4F60-8241-82066CA74206}"/>
    <cellStyle name="CalcCell" xfId="4" xr:uid="{24AFF344-0150-4F6C-BF35-42348894F921}"/>
    <cellStyle name="CalcHead" xfId="3" xr:uid="{B897BEC6-F2DB-4647-9E7B-CB8749F4A5C7}"/>
    <cellStyle name="Calculation" xfId="37" builtinId="22" hidden="1"/>
    <cellStyle name="Check Cell" xfId="39" builtinId="23" hidden="1"/>
    <cellStyle name="Comma" xfId="22" builtinId="3" hidden="1"/>
    <cellStyle name="Comma [0]" xfId="23" builtinId="6" hidden="1"/>
    <cellStyle name="Currency" xfId="24" builtinId="4" hidden="1"/>
    <cellStyle name="Currency [0]" xfId="25" builtinId="7" hidden="1"/>
    <cellStyle name="Explanatory Text" xfId="42" builtinId="53" hidden="1"/>
    <cellStyle name="Good" xfId="32" builtinId="26" hidden="1"/>
    <cellStyle name="Heading 1" xfId="28" builtinId="16" hidden="1"/>
    <cellStyle name="Heading 2" xfId="29" builtinId="17" hidden="1"/>
    <cellStyle name="Heading 3" xfId="30" builtinId="18" hidden="1"/>
    <cellStyle name="Heading 4" xfId="31" builtinId="19" hidden="1"/>
    <cellStyle name="Hyperlink" xfId="21" builtinId="8"/>
    <cellStyle name="Inactive" xfId="16" xr:uid="{73C2482E-C634-4BF4-9EC2-62FF00C7FDE7}"/>
    <cellStyle name="Input" xfId="35" builtinId="20" hidden="1"/>
    <cellStyle name="InputCell" xfId="7" xr:uid="{9E72CC49-3D3B-4952-AF8E-2B52D23F13AB}"/>
    <cellStyle name="InputHead" xfId="5" xr:uid="{FCE4C90D-0CD0-4515-822F-089FC434F22A}"/>
    <cellStyle name="InputSpec" xfId="6" xr:uid="{1764DF3B-5E3C-41D4-A07D-01C87C23F505}"/>
    <cellStyle name="IntCell" xfId="19" xr:uid="{D0267900-6B9C-42ED-A091-1D6CC1F458A4}"/>
    <cellStyle name="IntHead" xfId="18" xr:uid="{5E3A0755-8091-49F9-B4CA-B99F2A4922C5}"/>
    <cellStyle name="IntKey" xfId="2" xr:uid="{D9807A04-82B4-4E15-9E98-41E1C9785938}"/>
    <cellStyle name="IntKeyHead" xfId="17" xr:uid="{FA41C4A4-AD31-46B1-BC4B-CD21B4EAA95D}"/>
    <cellStyle name="KeyCell" xfId="10" xr:uid="{D99B326A-BF36-477F-A977-9D94D0235DAE}"/>
    <cellStyle name="KeyHead" xfId="9" xr:uid="{2944B919-52E3-4238-9C8A-E1DBC399DE2B}"/>
    <cellStyle name="Linked Cell" xfId="38" builtinId="24" hidden="1"/>
    <cellStyle name="LookCell" xfId="12" xr:uid="{FC3B1675-F142-4CA3-A614-D2E60A4010B4}"/>
    <cellStyle name="LookHead" xfId="11" xr:uid="{116C7678-05E8-42BB-AC20-EA5CBE7F77FD}"/>
    <cellStyle name="NegActive" xfId="13" xr:uid="{4211BEB3-257F-4AFC-B012-117F6FEB191E}"/>
    <cellStyle name="NegCell" xfId="15" xr:uid="{016058B1-D891-44D1-ADFE-9E41A0F4B836}"/>
    <cellStyle name="NegHead" xfId="14" xr:uid="{16834117-603C-411D-B040-6942A80249D1}"/>
    <cellStyle name="Neutral" xfId="34" builtinId="28" hidden="1"/>
    <cellStyle name="Normal" xfId="0" builtinId="0"/>
    <cellStyle name="Note" xfId="41" builtinId="10" hidden="1"/>
    <cellStyle name="Output" xfId="36" builtinId="21" hidden="1"/>
    <cellStyle name="Percent" xfId="26" builtinId="5" hidden="1"/>
    <cellStyle name="Title" xfId="27" builtinId="15" hidden="1"/>
    <cellStyle name="Total" xfId="43" builtinId="25" hidden="1"/>
    <cellStyle name="Warning Text" xfId="40" builtinId="11" hidden="1"/>
    <cellStyle name="xCond" xfId="20" xr:uid="{1EBEEB1F-2D52-4967-A6BA-433C81E5818A}"/>
  </cellStyles>
  <dxfs count="63">
    <dxf>
      <font>
        <color theme="0" tint="-0.499984740745262"/>
      </font>
      <fill>
        <patternFill>
          <bgColor rgb="FF595959"/>
        </patternFill>
      </fill>
    </dxf>
    <dxf>
      <fill>
        <patternFill>
          <bgColor rgb="FFFF5050"/>
        </patternFill>
      </fill>
    </dxf>
    <dxf>
      <fill>
        <patternFill>
          <bgColor rgb="FFFF7C80"/>
        </patternFill>
      </fill>
    </dxf>
    <dxf>
      <fill>
        <patternFill patternType="darkDown">
          <fgColor rgb="FFFF7C80"/>
          <bgColor rgb="FFFF0000"/>
        </patternFill>
      </fill>
    </dxf>
    <dxf>
      <font>
        <color rgb="FFA6A6A6"/>
      </font>
      <fill>
        <patternFill>
          <bgColor rgb="FF808080"/>
        </patternFill>
      </fill>
    </dxf>
    <dxf>
      <fill>
        <patternFill>
          <bgColor rgb="FFFF5050"/>
        </patternFill>
      </fill>
    </dxf>
    <dxf>
      <fill>
        <patternFill>
          <bgColor rgb="FFFF7C80"/>
        </patternFill>
      </fill>
    </dxf>
    <dxf>
      <fill>
        <patternFill patternType="darkDown">
          <fgColor rgb="FFFF7C80"/>
          <bgColor rgb="FFFF0000"/>
        </patternFill>
      </fill>
    </dxf>
    <dxf>
      <numFmt numFmtId="0" formatCode="General"/>
    </dxf>
    <dxf>
      <border outline="0">
        <top style="thin">
          <color auto="1"/>
        </top>
      </border>
    </dxf>
    <dxf>
      <fill>
        <patternFill>
          <bgColor rgb="FFFF5050"/>
        </patternFill>
      </fill>
    </dxf>
    <dxf>
      <fill>
        <patternFill>
          <bgColor rgb="FFFF7C80"/>
        </patternFill>
      </fill>
    </dxf>
    <dxf>
      <fill>
        <patternFill patternType="darkDown">
          <fgColor rgb="FFFF7C80"/>
          <bgColor rgb="FFFF0000"/>
        </patternFill>
      </fill>
    </dxf>
    <dxf>
      <fill>
        <patternFill patternType="darkDown">
          <fgColor rgb="FFFF7C80"/>
          <bgColor rgb="FFFF0000"/>
        </patternFill>
      </fill>
    </dxf>
    <dxf>
      <fill>
        <patternFill>
          <bgColor theme="0" tint="-0.34998626667073579"/>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border outline="0">
        <top style="thin">
          <color indexed="64"/>
        </top>
      </border>
    </dxf>
    <dxf>
      <font>
        <strike val="0"/>
        <outline val="0"/>
        <shadow val="0"/>
        <u val="none"/>
        <vertAlign val="baseline"/>
        <sz val="11"/>
        <color theme="1"/>
        <name val="Bahnschrift Condensed"/>
        <family val="2"/>
        <scheme val="none"/>
      </font>
    </dxf>
    <dxf>
      <fill>
        <patternFill>
          <bgColor theme="6"/>
        </patternFill>
      </fill>
    </dxf>
    <dxf>
      <fill>
        <patternFill>
          <bgColor theme="9"/>
        </patternFill>
      </fill>
    </dxf>
    <dxf>
      <fill>
        <patternFill>
          <bgColor theme="6"/>
        </patternFill>
      </fill>
    </dxf>
    <dxf>
      <fill>
        <patternFill>
          <bgColor theme="9"/>
        </patternFill>
      </fill>
    </dxf>
    <dxf>
      <fill>
        <patternFill>
          <bgColor theme="6" tint="0.39994506668294322"/>
        </patternFill>
      </fill>
    </dxf>
    <dxf>
      <fill>
        <patternFill>
          <bgColor theme="9" tint="0.39994506668294322"/>
        </patternFill>
      </fill>
    </dxf>
    <dxf>
      <fill>
        <patternFill>
          <bgColor rgb="FF5B9BD5"/>
        </patternFill>
      </fill>
    </dxf>
    <dxf>
      <fill>
        <patternFill>
          <bgColor rgb="FF5B9BD5"/>
        </patternFill>
      </fill>
    </dxf>
    <dxf>
      <fill>
        <patternFill>
          <bgColor rgb="FF9BC2E6"/>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fill>
        <patternFill>
          <bgColor rgb="FFA5A5A5"/>
        </patternFill>
      </fill>
    </dxf>
    <dxf>
      <fill>
        <patternFill>
          <bgColor rgb="FF8138B8"/>
        </patternFill>
      </fill>
    </dxf>
    <dxf>
      <fill>
        <patternFill>
          <bgColor rgb="FFA5A5A5"/>
        </patternFill>
      </fill>
    </dxf>
    <dxf>
      <fill>
        <patternFill>
          <bgColor rgb="FF8138B8"/>
        </patternFill>
      </fill>
    </dxf>
    <dxf>
      <fill>
        <patternFill>
          <bgColor rgb="FFC9C9C9"/>
        </patternFill>
      </fill>
    </dxf>
    <dxf>
      <fill>
        <patternFill>
          <bgColor rgb="FFA76ED2"/>
        </patternFill>
      </fill>
    </dxf>
    <dxf>
      <fill>
        <patternFill>
          <bgColor rgb="FF954FC9"/>
        </patternFill>
      </fill>
    </dxf>
    <dxf>
      <fill>
        <patternFill>
          <bgColor rgb="FF954FC9"/>
        </patternFill>
      </fill>
    </dxf>
    <dxf>
      <font>
        <strike val="0"/>
      </font>
      <fill>
        <patternFill>
          <bgColor rgb="FFB686DA"/>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6"/>
        </patternFill>
      </fill>
    </dxf>
    <dxf>
      <fill>
        <patternFill>
          <bgColor theme="9"/>
        </patternFill>
      </fill>
    </dxf>
    <dxf>
      <fill>
        <patternFill>
          <bgColor theme="6"/>
        </patternFill>
      </fill>
    </dxf>
    <dxf>
      <fill>
        <patternFill>
          <bgColor theme="9"/>
        </patternFill>
      </fill>
    </dxf>
    <dxf>
      <fill>
        <patternFill>
          <bgColor theme="6" tint="0.39994506668294322"/>
        </patternFill>
      </fill>
    </dxf>
    <dxf>
      <fill>
        <patternFill>
          <bgColor theme="9" tint="0.39994506668294322"/>
        </patternFill>
      </fill>
    </dxf>
    <dxf>
      <fill>
        <patternFill>
          <bgColor theme="7"/>
        </patternFill>
      </fill>
    </dxf>
    <dxf>
      <fill>
        <patternFill>
          <bgColor theme="7"/>
        </patternFill>
      </fill>
    </dxf>
    <dxf>
      <fill>
        <patternFill>
          <bgColor rgb="FFFFD966"/>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s>
  <tableStyles count="4" defaultTableStyle="TableStyleMedium2" defaultPivotStyle="PivotStyleLight16">
    <tableStyle name="CalcSlicer" pivot="0" table="0" count="10" xr9:uid="{9002A90B-8162-4C0D-AC0E-75A79C394F31}">
      <tableStyleElement type="wholeTable" dxfId="15"/>
      <tableStyleElement type="headerRow" dxfId="14"/>
    </tableStyle>
    <tableStyle name="Input Table" pivot="0" count="9" xr9:uid="{36743DE1-D665-4C00-AC30-E26EBCC4EB5F}">
      <tableStyleElement type="wholeTable" dxfId="62"/>
      <tableStyleElement type="headerRow" dxfId="61"/>
      <tableStyleElement type="totalRow" dxfId="60"/>
      <tableStyleElement type="firstColumn" dxfId="59"/>
      <tableStyleElement type="lastColumn" dxfId="58"/>
      <tableStyleElement type="firstHeaderCell" dxfId="57"/>
      <tableStyleElement type="lastHeaderCell" dxfId="56"/>
      <tableStyleElement type="firstTotalCell" dxfId="55"/>
      <tableStyleElement type="lastTotalCell" dxfId="54"/>
    </tableStyle>
    <tableStyle name="IntTable" pivot="0" count="9" xr9:uid="{6569D68B-D61A-4EB6-98F4-826733CFF175}">
      <tableStyleElement type="wholeTable" dxfId="53"/>
      <tableStyleElement type="headerRow" dxfId="52"/>
      <tableStyleElement type="totalRow" dxfId="51"/>
      <tableStyleElement type="firstColumn" dxfId="50"/>
      <tableStyleElement type="lastColumn" dxfId="49"/>
      <tableStyleElement type="firstHeaderCell" dxfId="48"/>
      <tableStyleElement type="lastHeaderCell" dxfId="47"/>
      <tableStyleElement type="firstTotalCell" dxfId="46"/>
      <tableStyleElement type="lastTotalCell" dxfId="45"/>
    </tableStyle>
    <tableStyle name="Lookup Table" pivot="0" count="9" xr9:uid="{92DC973F-2E49-44AB-8564-A6325BEF3F08}">
      <tableStyleElement type="wholeTable" dxfId="44"/>
      <tableStyleElement type="headerRow" dxfId="43"/>
      <tableStyleElement type="totalRow" dxfId="42"/>
      <tableStyleElement type="firstColumn" dxfId="41"/>
      <tableStyleElement type="lastColumn" dxfId="40"/>
      <tableStyleElement type="firstHeaderCell" dxfId="39"/>
      <tableStyleElement type="lastHeaderCell" dxfId="38"/>
      <tableStyleElement type="firstTotalCell" dxfId="37"/>
      <tableStyleElement type="lastTotalCell" dxfId="36"/>
    </tableStyle>
  </tableStyles>
  <colors>
    <mruColors>
      <color rgb="FF595959"/>
      <color rgb="FFA6A6A6"/>
      <color rgb="FF808080"/>
      <color rgb="FFFF5050"/>
      <color rgb="FFFF7C80"/>
      <color rgb="FFFF0000"/>
      <color rgb="FFEEB0B0"/>
      <color rgb="FFC43636"/>
      <color rgb="FFA71D1D"/>
      <color rgb="FFDB6F6F"/>
    </mruColors>
  </colors>
  <extLst>
    <ext xmlns:x14="http://schemas.microsoft.com/office/spreadsheetml/2009/9/main" uri="{46F421CA-312F-682f-3DD2-61675219B42D}">
      <x14:dxfs count="8">
        <dxf>
          <fill>
            <patternFill>
              <bgColor rgb="FFEEB0B0"/>
            </patternFill>
          </fill>
        </dxf>
        <dxf>
          <fill>
            <patternFill>
              <bgColor rgb="FFC43636"/>
            </patternFill>
          </fill>
        </dxf>
        <dxf>
          <fill>
            <patternFill>
              <bgColor theme="9" tint="-0.24994659260841701"/>
            </patternFill>
          </fill>
        </dxf>
        <dxf>
          <fill>
            <patternFill>
              <bgColor theme="9"/>
            </patternFill>
          </fill>
        </dxf>
        <dxf>
          <font>
            <color theme="0"/>
          </font>
          <fill>
            <patternFill>
              <bgColor theme="9" tint="-0.499984740745262"/>
            </patternFill>
          </fill>
        </dxf>
        <dxf>
          <fill>
            <patternFill>
              <bgColor theme="9" tint="0.39994506668294322"/>
            </patternFill>
          </fill>
        </dxf>
        <dxf>
          <font>
            <color theme="0"/>
          </font>
          <fill>
            <patternFill>
              <bgColor rgb="FFA71D1D"/>
            </patternFill>
          </fill>
        </dxf>
        <dxf>
          <fill>
            <patternFill>
              <bgColor rgb="FFDB6F6F"/>
            </patternFill>
          </fill>
        </dxf>
      </x14:dxfs>
    </ext>
    <ext xmlns:x14="http://schemas.microsoft.com/office/spreadsheetml/2009/9/main" uri="{EB79DEF2-80B8-43e5-95BD-54CBDDF9020C}">
      <x14:slicerStyles defaultSlicerStyle="CalcSlicer">
        <x14:slicerStyle name="Calc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0"/>
            <x14:slicerStyleElement type="hoveredSelectedItemWithData" dxfId="3"/>
            <x14:slicerStyleElement type="hoveredUnselectedItemWithNoData" dxfId="1"/>
            <x14:slicerStyleElement type="hoveredSelectedItemWithNoData" dxfId="2"/>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10" Type="http://schemas.openxmlformats.org/officeDocument/2006/relationships/calcChain" Target="calcChain.xml"/><Relationship Id="rId4" Type="http://schemas.microsoft.com/office/2007/relationships/slicerCache" Target="slicerCaches/slicerCache1.xml"/><Relationship Id="rId9"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editAs="absolute">
    <xdr:from>
      <xdr:col>13</xdr:col>
      <xdr:colOff>251732</xdr:colOff>
      <xdr:row>0</xdr:row>
      <xdr:rowOff>67220</xdr:rowOff>
    </xdr:from>
    <xdr:to>
      <xdr:col>15</xdr:col>
      <xdr:colOff>172538</xdr:colOff>
      <xdr:row>5</xdr:row>
      <xdr:rowOff>142874</xdr:rowOff>
    </xdr:to>
    <mc:AlternateContent xmlns:mc="http://schemas.openxmlformats.org/markup-compatibility/2006">
      <mc:Choice xmlns:sle15="http://schemas.microsoft.com/office/drawing/2012/slicer" Requires="sle15">
        <xdr:graphicFrame macro="">
          <xdr:nvGraphicFramePr>
            <xdr:cNvPr id="2" name="SampleSlicer">
              <a:extLst>
                <a:ext uri="{FF2B5EF4-FFF2-40B4-BE49-F238E27FC236}">
                  <a16:creationId xmlns:a16="http://schemas.microsoft.com/office/drawing/2014/main" id="{E8329844-ACD5-415B-9A6E-085B70DCB2B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
            </a:graphicData>
          </a:graphic>
        </xdr:graphicFrame>
      </mc:Choice>
      <mc:Fallback>
        <xdr:sp macro="" textlink="">
          <xdr:nvSpPr>
            <xdr:cNvPr id="0" name=""/>
            <xdr:cNvSpPr>
              <a:spLocks noTextEdit="1"/>
            </xdr:cNvSpPr>
          </xdr:nvSpPr>
          <xdr:spPr>
            <a:xfrm>
              <a:off x="13675178" y="67220"/>
              <a:ext cx="1451610" cy="9805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255978</xdr:colOff>
      <xdr:row>6</xdr:row>
      <xdr:rowOff>34018</xdr:rowOff>
    </xdr:from>
    <xdr:to>
      <xdr:col>15</xdr:col>
      <xdr:colOff>176784</xdr:colOff>
      <xdr:row>12</xdr:row>
      <xdr:rowOff>129268</xdr:rowOff>
    </xdr:to>
    <mc:AlternateContent xmlns:mc="http://schemas.openxmlformats.org/markup-compatibility/2006">
      <mc:Choice xmlns:sle15="http://schemas.microsoft.com/office/drawing/2012/slicer" Requires="sle15">
        <xdr:graphicFrame macro="">
          <xdr:nvGraphicFramePr>
            <xdr:cNvPr id="4" name="SampleSlicer2">
              <a:extLst>
                <a:ext uri="{FF2B5EF4-FFF2-40B4-BE49-F238E27FC236}">
                  <a16:creationId xmlns:a16="http://schemas.microsoft.com/office/drawing/2014/main" id="{BFF0FBEA-9D61-4B1D-ACDF-1098C355628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2"/>
            </a:graphicData>
          </a:graphic>
        </xdr:graphicFrame>
      </mc:Choice>
      <mc:Fallback>
        <xdr:sp macro="" textlink="">
          <xdr:nvSpPr>
            <xdr:cNvPr id="0" name=""/>
            <xdr:cNvSpPr>
              <a:spLocks noTextEdit="1"/>
            </xdr:cNvSpPr>
          </xdr:nvSpPr>
          <xdr:spPr>
            <a:xfrm>
              <a:off x="13679424" y="1122589"/>
              <a:ext cx="1451610" cy="11974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 xr10:uid="{C7735B61-1C0D-4D16-B729-93FF8BA96744}" sourceName="Column1">
  <extLst>
    <x:ext xmlns:x15="http://schemas.microsoft.com/office/spreadsheetml/2010/11/main" uri="{2F2917AC-EB37-4324-AD4E-5DD8C200BD13}">
      <x15:tableSlicerCache tableId="9" column="1" crossFilter="none"/>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2" xr10:uid="{DE1CE90E-D950-44D4-9A92-E7765E56CDE7}" sourceName="Column2">
  <extLst>
    <x:ext xmlns:x15="http://schemas.microsoft.com/office/spreadsheetml/2010/11/main" uri="{2F2917AC-EB37-4324-AD4E-5DD8C200BD13}">
      <x15:tableSlicerCache tableId="9"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mpleSlicer" xr10:uid="{71353EDB-C0E6-4B13-8DDE-AD5EAEA209A3}" cache="SampleSlicer" caption="Column1" lockedPosition="1" rowHeight="182880"/>
  <slicer name="SampleSlicer2" xr10:uid="{53E34E6E-51BA-49D6-8E0A-D4D45AC9A39A}" cache="SampleSlicer2" caption="Column2" lockedPosition="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99BFF0-94C2-484A-AB58-67F55C4B6E60}" name="KeyTable" displayName="KeyTable" ref="A2:G22" totalsRowShown="0" headerRowDxfId="35" tableBorderDxfId="34">
  <autoFilter ref="A2:G22" xr:uid="{9534AE20-5157-4847-817C-9669AAE5A6B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D510F896-ED24-48B1-853C-CE27DC687EBA}" name="Cell Name"/>
    <tableColumn id="2" xr3:uid="{0182BED1-E3D2-4DEB-953E-8E38866A31B4}" name="Where Used" dataDxfId="33"/>
    <tableColumn id="3" xr3:uid="{082CA2D3-D449-4334-ABBC-3004106AE17C}" name="Typing Notes" dataDxfId="32"/>
    <tableColumn id="4" xr3:uid="{92100948-EB97-4C9C-AE01-5AAF25B33FF0}" name="Warnings" dataDxfId="31"/>
    <tableColumn id="5" xr3:uid="{1A92A71A-B8D8-4E67-AA62-A7FBCC1FE379}" name="BgColor" dataDxfId="30"/>
    <tableColumn id="6" xr3:uid="{EFD2E2AD-E61D-4C56-840F-FE3C98D90394}" name="TxColor" dataDxfId="29"/>
    <tableColumn id="7" xr3:uid="{C684879A-C650-41BE-98B2-794B0C7F0BDB}" name="PtColor" dataDxfId="28"/>
  </tableColumns>
  <tableStyleInfo name="IntTable"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AAF99A-5C5A-4C49-8B67-19EC666055E1}" name="InputSampleTable" displayName="InputSampleTable" ref="B29:D32" totalsRowCount="1">
  <autoFilter ref="B29:D31" xr:uid="{4D71DE13-6D72-4E75-99ED-03EF4574DBE0}">
    <filterColumn colId="0" hiddenButton="1"/>
    <filterColumn colId="1" hiddenButton="1"/>
    <filterColumn colId="2" hiddenButton="1"/>
  </autoFilter>
  <tableColumns count="3">
    <tableColumn id="1" xr3:uid="{6929291C-2881-413E-9105-4A5C26E746EB}" name="Key1" totalsRowLabel="Total"/>
    <tableColumn id="2" xr3:uid="{DCE6931E-FD68-454D-B8F5-598B8C5204E0}" name="InputColumn2"/>
    <tableColumn id="3" xr3:uid="{25890384-CE26-44FC-950D-70BA221CC229}" name="CalcColumn3" totalsRowFunction="count"/>
  </tableColumns>
  <tableStyleInfo name="Input Tab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C97076-8C41-41DD-B6E8-40844F013C07}" name="IntSampleTable" displayName="IntSampleTable" ref="B34:D37" totalsRowCount="1">
  <autoFilter ref="B34:D36" xr:uid="{1BFF309A-77A8-4272-AEEA-F08BEEB1875B}">
    <filterColumn colId="0" hiddenButton="1"/>
    <filterColumn colId="1" hiddenButton="1"/>
    <filterColumn colId="2" hiddenButton="1"/>
  </autoFilter>
  <tableColumns count="3">
    <tableColumn id="1" xr3:uid="{444ADC8E-D844-45D8-8E5F-28D8AB8FBFC1}" name="Key1" totalsRowLabel="Total"/>
    <tableColumn id="2" xr3:uid="{CE6E61AD-C219-4CF9-ADB5-C5B0EB527422}" name="Internal2"/>
    <tableColumn id="3" xr3:uid="{7DB48570-446A-440E-A32C-08BEF00880AA}" name="CalcColumn3" totalsRowFunction="count"/>
  </tableColumns>
  <tableStyleInfo name="IntTable"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0B33DA-0297-4934-AB13-4F6F095962B1}" name="QuerySampleTable" displayName="QuerySampleTable" ref="B39:D42" totalsRowCount="1">
  <autoFilter ref="B39:D41" xr:uid="{7CA7B0D7-9730-4021-8CB8-B882AF6B5EE6}">
    <filterColumn colId="0" hiddenButton="1"/>
    <filterColumn colId="1" hiddenButton="1"/>
    <filterColumn colId="2" hiddenButton="1"/>
  </autoFilter>
  <tableColumns count="3">
    <tableColumn id="1" xr3:uid="{36E0DAC5-35AB-4939-8E30-1FAA54B8D9B5}" name="Key1" totalsRowLabel="Total"/>
    <tableColumn id="2" xr3:uid="{1EDC4209-A19C-4FDE-BCBA-F9D39C49A29F}" name="QueryColumn2"/>
    <tableColumn id="3" xr3:uid="{6833AC55-BA92-456D-9D30-F590053D38BD}" name="CalcColumn3" totalsRowFunction="count"/>
  </tableColumns>
  <tableStyleInfo name="Lookup Table"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1FA6708-DAD0-4FA7-80AC-A52A500DC7EB}" name="ConitionalTable" displayName="ConitionalTable" ref="I2:L21">
  <autoFilter ref="I2:L21" xr:uid="{642F6C8F-551C-4E5A-AD5B-F73C24E1469D}">
    <filterColumn colId="0" hiddenButton="1"/>
    <filterColumn colId="1" hiddenButton="1"/>
    <filterColumn colId="2" hiddenButton="1"/>
    <filterColumn colId="3" hiddenButton="1"/>
  </autoFilter>
  <tableColumns count="4">
    <tableColumn id="1" xr3:uid="{AD53F254-937D-4E59-9EC8-9BA08B55468C}" name="Column1" totalsRowLabel="Total"/>
    <tableColumn id="2" xr3:uid="{50F28E94-A170-4EBE-89EB-DE73BAF5AA6B}" name="Column2"/>
    <tableColumn id="3" xr3:uid="{B3F0FC40-1E26-49A0-BD3E-7F34A2F8FA9F}" name="Column3"/>
    <tableColumn id="4" xr3:uid="{D70CA315-13CD-480A-B0E2-CA0DDF21B183}" name="Result" totalsRowFunction="count" dataDxfId="8">
      <calculatedColumnFormula array="1">AND(ConitionalTable[[#This Row],[Column1]]=BoolYes,ConitionalTable[[#This Row],[Column2]]&lt;&gt;"BadValue",OR(ConitionalTable[[#This Row],[Column3]]&gt;0, NOT(SampleOptionTable[UseCol3])))</calculatedColumnFormula>
    </tableColumn>
  </tableColumns>
  <tableStyleInfo name="Input Table" showFirstColumn="0"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9806EB-F138-40B7-A168-CD70A9AFE6C6}" name="SampleOptionTable" displayName="SampleOptionTable" ref="N16:N17" totalsRowShown="0" tableBorderDxfId="9">
  <autoFilter ref="N16:N17" xr:uid="{93D29540-6F26-47B2-9535-0150D72DF45E}">
    <filterColumn colId="0" hiddenButton="1"/>
  </autoFilter>
  <tableColumns count="1">
    <tableColumn id="1" xr3:uid="{48385E94-6978-4DD0-A513-9A4C9FD1FE48}" name="UseCol3"/>
  </tableColumns>
  <tableStyleInfo name="Input Tab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BB7B988-311A-426B-9A82-BC227462BC68}" name="BoolTable" displayName="BoolTable" ref="A2:A4" totalsRowShown="0" headerRowDxfId="27" dataDxfId="26" tableBorderDxfId="25">
  <autoFilter ref="A2:A4" xr:uid="{C449DE06-2E9F-4A19-BFB1-7D18A499D65F}">
    <filterColumn colId="0" hiddenButton="1"/>
  </autoFilter>
  <tableColumns count="1">
    <tableColumn id="1" xr3:uid="{1016B090-ECD0-454A-9893-3BB93473AC65}" name="Bool" dataDxfId="24"/>
  </tableColumns>
  <tableStyleInfo name="IntTable"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0C5147-E8A2-4264-9F0C-873C2FCA345E}" name="BoolValueTable" displayName="BoolValueTable" ref="C2:D3" totalsRowShown="0" headerRowDxfId="23" dataDxfId="22">
  <autoFilter ref="C2:D3" xr:uid="{68122C0F-5432-4C4D-8F36-76739CD672D5}">
    <filterColumn colId="0" hiddenButton="1"/>
    <filterColumn colId="1" hiddenButton="1"/>
  </autoFilter>
  <tableColumns count="2">
    <tableColumn id="1" xr3:uid="{945071BE-4AE7-487A-8CD3-960F0AA7C207}" name="Y" dataDxfId="21">
      <calculatedColumnFormula array="1">OFFSET( BoolName, 0, 0, 1, 1)</calculatedColumnFormula>
    </tableColumn>
    <tableColumn id="3" xr3:uid="{D9396BD0-7182-4272-B658-16AB566D3C90}" name="N" dataDxfId="20">
      <calculatedColumnFormula array="1">OFFSET( BoolName, 1, 0, 1, 1)</calculatedColumnFormula>
    </tableColumn>
  </tableColumns>
  <tableStyleInfo name="IntTable"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5D605BD-8C23-4964-A9FD-6FA840DCC610}" name="LNFTable" displayName="LNFTable" ref="A7:A8" totalsRowShown="0" headerRowDxfId="17" dataDxfId="16" tableBorderDxfId="19">
  <autoFilter ref="A7:A8" xr:uid="{3A5E5831-125B-4C13-A27A-6EB2E9241CC5}">
    <filterColumn colId="0" hiddenButton="1"/>
  </autoFilter>
  <tableColumns count="1">
    <tableColumn id="1" xr3:uid="{CBA32D49-7780-4606-BA15-F538B9B77B45}" name="Str" dataDxfId="18"/>
  </tableColumns>
  <tableStyleInfo name="Int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2.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67E3B-64C5-4E84-B62B-BBE2E7658BD2}">
  <sheetPr codeName="Sheet5">
    <tabColor rgb="FF00B050"/>
  </sheetPr>
  <dimension ref="A1:N42"/>
  <sheetViews>
    <sheetView tabSelected="1" zoomScale="140" zoomScaleNormal="140" workbookViewId="0">
      <selection activeCell="F10" sqref="F10"/>
    </sheetView>
  </sheetViews>
  <sheetFormatPr defaultRowHeight="13.5" x14ac:dyDescent="0.15"/>
  <cols>
    <col min="1" max="1" width="25.77734375" customWidth="1"/>
    <col min="2" max="2" width="20.88671875" customWidth="1"/>
    <col min="3" max="3" width="21.88671875" customWidth="1"/>
    <col min="4" max="4" width="26" bestFit="1" customWidth="1"/>
    <col min="5" max="6" width="5.88671875" bestFit="1" customWidth="1"/>
    <col min="7" max="7" width="6.6640625" customWidth="1"/>
    <col min="9" max="9" width="8.109375" bestFit="1" customWidth="1"/>
    <col min="10" max="10" width="9.109375" bestFit="1" customWidth="1"/>
    <col min="11" max="11" width="8.109375" bestFit="1" customWidth="1"/>
    <col min="12" max="12" width="7.109375" bestFit="1" customWidth="1"/>
    <col min="13" max="13" width="2.21875" customWidth="1"/>
    <col min="14" max="14" width="9" customWidth="1"/>
  </cols>
  <sheetData>
    <row r="1" spans="1:14" x14ac:dyDescent="0.15">
      <c r="A1" s="24" t="s">
        <v>0</v>
      </c>
      <c r="B1" s="24"/>
      <c r="C1" s="24"/>
      <c r="D1" s="24"/>
      <c r="E1" s="24"/>
      <c r="F1" s="24"/>
      <c r="G1" s="24"/>
      <c r="I1" s="25" t="s">
        <v>95</v>
      </c>
      <c r="J1" s="26"/>
      <c r="K1" s="26"/>
      <c r="L1" s="27"/>
    </row>
    <row r="2" spans="1:14" ht="14.25" x14ac:dyDescent="0.2">
      <c r="A2" s="1" t="s">
        <v>1</v>
      </c>
      <c r="B2" s="1" t="s">
        <v>2</v>
      </c>
      <c r="C2" s="1" t="s">
        <v>3</v>
      </c>
      <c r="D2" s="1" t="s">
        <v>4</v>
      </c>
      <c r="E2" s="1" t="s">
        <v>5</v>
      </c>
      <c r="F2" s="1" t="s">
        <v>6</v>
      </c>
      <c r="G2" s="1" t="s">
        <v>7</v>
      </c>
      <c r="I2" t="s">
        <v>90</v>
      </c>
      <c r="J2" t="s">
        <v>93</v>
      </c>
      <c r="K2" t="s">
        <v>94</v>
      </c>
      <c r="L2" t="s">
        <v>96</v>
      </c>
    </row>
    <row r="3" spans="1:14" ht="14.25" x14ac:dyDescent="0.2">
      <c r="A3" s="2" t="s">
        <v>8</v>
      </c>
      <c r="B3" s="3" t="s">
        <v>9</v>
      </c>
      <c r="C3" s="3" t="s">
        <v>10</v>
      </c>
      <c r="D3" s="3" t="s">
        <v>11</v>
      </c>
      <c r="E3" s="3" t="s">
        <v>12</v>
      </c>
      <c r="F3" s="3" t="s">
        <v>13</v>
      </c>
      <c r="G3" s="3" t="s">
        <v>13</v>
      </c>
      <c r="I3" t="b">
        <v>1</v>
      </c>
      <c r="J3" t="s">
        <v>97</v>
      </c>
      <c r="K3">
        <v>700</v>
      </c>
      <c r="L3" t="b" cm="1">
        <f t="array" aca="1" ref="L3" ca="1">AND(ConitionalTable[[#This Row],[Column1]]=BoolYes,ConitionalTable[[#This Row],[Column2]]&lt;&gt;"BadValue",OR(ConitionalTable[[#This Row],[Column3]]&gt;0, NOT(SampleOptionTable[UseCol3])))</f>
        <v>1</v>
      </c>
    </row>
    <row r="4" spans="1:14" ht="14.25" x14ac:dyDescent="0.2">
      <c r="A4" s="4" t="s">
        <v>14</v>
      </c>
      <c r="B4" s="3" t="s">
        <v>15</v>
      </c>
      <c r="C4" s="3" t="s">
        <v>10</v>
      </c>
      <c r="D4" s="3" t="s">
        <v>16</v>
      </c>
      <c r="E4" s="3" t="s">
        <v>17</v>
      </c>
      <c r="F4" s="3" t="s">
        <v>13</v>
      </c>
      <c r="G4" s="3" t="s">
        <v>13</v>
      </c>
      <c r="I4" t="b">
        <v>0</v>
      </c>
      <c r="J4" t="s">
        <v>98</v>
      </c>
      <c r="K4">
        <v>5</v>
      </c>
      <c r="L4" t="b" cm="1">
        <f t="array" aca="1" ref="L4" ca="1">AND(ConitionalTable[[#This Row],[Column1]]=BoolYes,ConitionalTable[[#This Row],[Column2]]&lt;&gt;"BadValue",OR(ConitionalTable[[#This Row],[Column3]]&gt;0, NOT(SampleOptionTable[UseCol3])))</f>
        <v>0</v>
      </c>
    </row>
    <row r="5" spans="1:14" ht="14.25" x14ac:dyDescent="0.2">
      <c r="A5" s="5" t="s">
        <v>18</v>
      </c>
      <c r="B5" s="3" t="s">
        <v>19</v>
      </c>
      <c r="C5" s="3" t="s">
        <v>10</v>
      </c>
      <c r="D5" s="3" t="s">
        <v>20</v>
      </c>
      <c r="E5" s="3" t="s">
        <v>21</v>
      </c>
      <c r="F5" s="3" t="s">
        <v>13</v>
      </c>
      <c r="G5" s="3" t="s">
        <v>13</v>
      </c>
      <c r="I5" t="b">
        <v>1</v>
      </c>
      <c r="K5">
        <v>-7</v>
      </c>
      <c r="L5" t="b" cm="1">
        <f t="array" aca="1" ref="L5" ca="1">AND(ConitionalTable[[#This Row],[Column1]]=BoolYes,ConitionalTable[[#This Row],[Column2]]&lt;&gt;"BadValue",OR(ConitionalTable[[#This Row],[Column3]]&gt;0, NOT(SampleOptionTable[UseCol3])))</f>
        <v>1</v>
      </c>
    </row>
    <row r="6" spans="1:14" ht="14.25" x14ac:dyDescent="0.2">
      <c r="A6" s="6" t="s">
        <v>22</v>
      </c>
      <c r="B6" s="3" t="s">
        <v>23</v>
      </c>
      <c r="C6" s="3" t="s">
        <v>24</v>
      </c>
      <c r="D6" s="3" t="s">
        <v>25</v>
      </c>
      <c r="E6" s="3" t="s">
        <v>26</v>
      </c>
      <c r="F6" s="3" t="s">
        <v>13</v>
      </c>
      <c r="G6" s="3" t="s">
        <v>13</v>
      </c>
      <c r="I6" t="b">
        <v>1</v>
      </c>
      <c r="J6" t="s">
        <v>99</v>
      </c>
      <c r="K6">
        <v>20</v>
      </c>
      <c r="L6" t="b" cm="1">
        <f t="array" aca="1" ref="L6" ca="1">AND(ConitionalTable[[#This Row],[Column1]]=BoolYes,ConitionalTable[[#This Row],[Column2]]&lt;&gt;"BadValue",OR(ConitionalTable[[#This Row],[Column3]]&gt;0, NOT(SampleOptionTable[UseCol3])))</f>
        <v>1</v>
      </c>
    </row>
    <row r="7" spans="1:14" ht="14.25" x14ac:dyDescent="0.2">
      <c r="A7" s="7" t="s">
        <v>27</v>
      </c>
      <c r="B7" s="3" t="s">
        <v>28</v>
      </c>
      <c r="C7" s="3" t="s">
        <v>24</v>
      </c>
      <c r="D7" s="3" t="s">
        <v>25</v>
      </c>
      <c r="E7" s="3" t="s">
        <v>29</v>
      </c>
      <c r="F7" s="3" t="s">
        <v>13</v>
      </c>
      <c r="G7" s="3" t="s">
        <v>13</v>
      </c>
      <c r="I7" t="b">
        <v>1</v>
      </c>
      <c r="K7">
        <v>-100</v>
      </c>
      <c r="L7" t="b" cm="1">
        <f t="array" aca="1" ref="L7" ca="1">AND(ConitionalTable[[#This Row],[Column1]]=BoolYes,ConitionalTable[[#This Row],[Column2]]&lt;&gt;"BadValue",OR(ConitionalTable[[#This Row],[Column3]]&gt;0, NOT(SampleOptionTable[UseCol3])))</f>
        <v>1</v>
      </c>
    </row>
    <row r="8" spans="1:14" ht="14.25" x14ac:dyDescent="0.2">
      <c r="A8" s="8" t="s">
        <v>30</v>
      </c>
      <c r="B8" s="3" t="s">
        <v>31</v>
      </c>
      <c r="C8" s="3" t="s">
        <v>10</v>
      </c>
      <c r="D8" s="3" t="s">
        <v>20</v>
      </c>
      <c r="E8" s="3" t="s">
        <v>32</v>
      </c>
      <c r="F8" s="3" t="s">
        <v>13</v>
      </c>
      <c r="G8" s="3" t="s">
        <v>13</v>
      </c>
      <c r="I8" t="b">
        <v>1</v>
      </c>
      <c r="L8" t="b" cm="1">
        <f t="array" aca="1" ref="L8" ca="1">AND(ConitionalTable[[#This Row],[Column1]]=BoolYes,ConitionalTable[[#This Row],[Column2]]&lt;&gt;"BadValue",OR(ConitionalTable[[#This Row],[Column3]]&gt;0, NOT(SampleOptionTable[UseCol3])))</f>
        <v>1</v>
      </c>
    </row>
    <row r="9" spans="1:14" ht="14.25" x14ac:dyDescent="0.2">
      <c r="A9" s="9" t="s">
        <v>33</v>
      </c>
      <c r="B9" s="3" t="s">
        <v>31</v>
      </c>
      <c r="C9" s="3" t="s">
        <v>10</v>
      </c>
      <c r="D9" s="3" t="s">
        <v>87</v>
      </c>
      <c r="E9" s="3" t="s">
        <v>34</v>
      </c>
      <c r="F9" s="3" t="s">
        <v>13</v>
      </c>
      <c r="G9" s="3" t="s">
        <v>13</v>
      </c>
      <c r="I9" t="b">
        <v>1</v>
      </c>
      <c r="K9">
        <v>80</v>
      </c>
      <c r="L9" t="b" cm="1">
        <f t="array" aca="1" ref="L9" ca="1">AND(ConitionalTable[[#This Row],[Column1]]=BoolYes,ConitionalTable[[#This Row],[Column2]]&lt;&gt;"BadValue",OR(ConitionalTable[[#This Row],[Column3]]&gt;0, NOT(SampleOptionTable[UseCol3])))</f>
        <v>1</v>
      </c>
    </row>
    <row r="10" spans="1:14" ht="14.25" x14ac:dyDescent="0.2">
      <c r="A10" s="10" t="s">
        <v>35</v>
      </c>
      <c r="B10" s="3" t="s">
        <v>19</v>
      </c>
      <c r="C10" s="3" t="s">
        <v>10</v>
      </c>
      <c r="D10" s="3" t="s">
        <v>20</v>
      </c>
      <c r="E10" s="3" t="s">
        <v>36</v>
      </c>
      <c r="F10" s="3" t="s">
        <v>13</v>
      </c>
      <c r="G10" s="3" t="s">
        <v>13</v>
      </c>
      <c r="L10" t="b" cm="1">
        <f t="array" aca="1" ref="L10" ca="1">AND(ConitionalTable[[#This Row],[Column1]]=BoolYes,ConitionalTable[[#This Row],[Column2]]&lt;&gt;"BadValue",OR(ConitionalTable[[#This Row],[Column3]]&gt;0, NOT(SampleOptionTable[UseCol3])))</f>
        <v>0</v>
      </c>
    </row>
    <row r="11" spans="1:14" ht="14.25" x14ac:dyDescent="0.2">
      <c r="A11" s="11" t="s">
        <v>37</v>
      </c>
      <c r="B11" s="3" t="s">
        <v>38</v>
      </c>
      <c r="C11" s="3" t="s">
        <v>39</v>
      </c>
      <c r="D11" s="3" t="s">
        <v>40</v>
      </c>
      <c r="E11" s="3" t="s">
        <v>41</v>
      </c>
      <c r="F11" s="3" t="s">
        <v>13</v>
      </c>
      <c r="G11" s="3" t="s">
        <v>13</v>
      </c>
      <c r="L11" t="b" cm="1">
        <f t="array" aca="1" ref="L11" ca="1">AND(ConitionalTable[[#This Row],[Column1]]=BoolYes,ConitionalTable[[#This Row],[Column2]]&lt;&gt;"BadValue",OR(ConitionalTable[[#This Row],[Column3]]&gt;0, NOT(SampleOptionTable[UseCol3])))</f>
        <v>0</v>
      </c>
    </row>
    <row r="12" spans="1:14" ht="14.25" x14ac:dyDescent="0.2">
      <c r="A12" s="12" t="s">
        <v>42</v>
      </c>
      <c r="B12" s="3" t="s">
        <v>19</v>
      </c>
      <c r="C12" s="3" t="s">
        <v>10</v>
      </c>
      <c r="D12" s="3" t="s">
        <v>20</v>
      </c>
      <c r="E12" s="3" t="s">
        <v>43</v>
      </c>
      <c r="F12" s="3" t="s">
        <v>13</v>
      </c>
      <c r="G12" s="3" t="s">
        <v>13</v>
      </c>
      <c r="I12" t="b">
        <v>0</v>
      </c>
      <c r="L12" t="b" cm="1">
        <f t="array" aca="1" ref="L12" ca="1">AND(ConitionalTable[[#This Row],[Column1]]=BoolYes,ConitionalTable[[#This Row],[Column2]]&lt;&gt;"BadValue",OR(ConitionalTable[[#This Row],[Column3]]&gt;0, NOT(SampleOptionTable[UseCol3])))</f>
        <v>0</v>
      </c>
    </row>
    <row r="13" spans="1:14" ht="14.25" x14ac:dyDescent="0.2">
      <c r="A13" s="13" t="s">
        <v>44</v>
      </c>
      <c r="B13" s="3" t="s">
        <v>15</v>
      </c>
      <c r="C13" s="3" t="s">
        <v>10</v>
      </c>
      <c r="D13" s="3" t="s">
        <v>86</v>
      </c>
      <c r="E13" s="3" t="s">
        <v>45</v>
      </c>
      <c r="F13" s="3" t="s">
        <v>13</v>
      </c>
      <c r="G13" s="3" t="s">
        <v>13</v>
      </c>
      <c r="I13" t="b">
        <v>0</v>
      </c>
      <c r="K13">
        <v>-56</v>
      </c>
      <c r="L13" t="b" cm="1">
        <f t="array" aca="1" ref="L13" ca="1">AND(ConitionalTable[[#This Row],[Column1]]=BoolYes,ConitionalTable[[#This Row],[Column2]]&lt;&gt;"BadValue",OR(ConitionalTable[[#This Row],[Column3]]&gt;0, NOT(SampleOptionTable[UseCol3])))</f>
        <v>0</v>
      </c>
    </row>
    <row r="14" spans="1:14" ht="14.25" x14ac:dyDescent="0.2">
      <c r="A14" s="14" t="s">
        <v>46</v>
      </c>
      <c r="B14" s="3" t="s">
        <v>38</v>
      </c>
      <c r="C14" s="3" t="s">
        <v>24</v>
      </c>
      <c r="D14" s="3" t="s">
        <v>47</v>
      </c>
      <c r="E14" s="3" t="s">
        <v>48</v>
      </c>
      <c r="F14" s="3" t="s">
        <v>13</v>
      </c>
      <c r="G14" s="3" t="s">
        <v>49</v>
      </c>
      <c r="I14" t="b">
        <v>0</v>
      </c>
      <c r="L14" t="b" cm="1">
        <f t="array" aca="1" ref="L14" ca="1">AND(ConitionalTable[[#This Row],[Column1]]=BoolYes,ConitionalTable[[#This Row],[Column2]]&lt;&gt;"BadValue",OR(ConitionalTable[[#This Row],[Column3]]&gt;0, NOT(SampleOptionTable[UseCol3])))</f>
        <v>0</v>
      </c>
    </row>
    <row r="15" spans="1:14" ht="14.25" x14ac:dyDescent="0.2">
      <c r="A15" s="15" t="s">
        <v>50</v>
      </c>
      <c r="B15" s="3" t="s">
        <v>19</v>
      </c>
      <c r="C15" s="3" t="s">
        <v>10</v>
      </c>
      <c r="D15" s="3" t="s">
        <v>51</v>
      </c>
      <c r="E15" s="3" t="s">
        <v>52</v>
      </c>
      <c r="F15" s="3" t="s">
        <v>13</v>
      </c>
      <c r="G15" s="3" t="s">
        <v>13</v>
      </c>
      <c r="I15" t="b">
        <v>0</v>
      </c>
      <c r="L15" t="b" cm="1">
        <f t="array" aca="1" ref="L15" ca="1">AND(ConitionalTable[[#This Row],[Column1]]=BoolYes,ConitionalTable[[#This Row],[Column2]]&lt;&gt;"BadValue",OR(ConitionalTable[[#This Row],[Column3]]&gt;0, NOT(SampleOptionTable[UseCol3])))</f>
        <v>0</v>
      </c>
      <c r="N15" s="35" t="s">
        <v>103</v>
      </c>
    </row>
    <row r="16" spans="1:14" ht="14.25" x14ac:dyDescent="0.2">
      <c r="A16" s="16" t="s">
        <v>53</v>
      </c>
      <c r="B16" s="3" t="s">
        <v>38</v>
      </c>
      <c r="C16" s="3" t="s">
        <v>39</v>
      </c>
      <c r="D16" s="3" t="s">
        <v>54</v>
      </c>
      <c r="E16" s="3" t="s">
        <v>49</v>
      </c>
      <c r="F16" s="3" t="s">
        <v>13</v>
      </c>
      <c r="G16" s="3" t="s">
        <v>13</v>
      </c>
      <c r="I16" t="b">
        <v>0</v>
      </c>
      <c r="L16" t="b" cm="1">
        <f t="array" aca="1" ref="L16" ca="1">AND(ConitionalTable[[#This Row],[Column1]]=BoolYes,ConitionalTable[[#This Row],[Column2]]&lt;&gt;"BadValue",OR(ConitionalTable[[#This Row],[Column3]]&gt;0, NOT(SampleOptionTable[UseCol3])))</f>
        <v>0</v>
      </c>
      <c r="N16" t="s">
        <v>104</v>
      </c>
    </row>
    <row r="17" spans="1:14" ht="14.25" x14ac:dyDescent="0.2">
      <c r="A17" s="34" t="s">
        <v>100</v>
      </c>
      <c r="B17" s="33" t="s">
        <v>19</v>
      </c>
      <c r="C17" s="3" t="s">
        <v>10</v>
      </c>
      <c r="D17" s="3" t="s">
        <v>102</v>
      </c>
      <c r="E17" s="33" t="s">
        <v>101</v>
      </c>
      <c r="F17" s="33" t="s">
        <v>58</v>
      </c>
      <c r="G17" s="3" t="s">
        <v>13</v>
      </c>
      <c r="I17" t="b">
        <v>0</v>
      </c>
      <c r="L17" t="b" cm="1">
        <f t="array" aca="1" ref="L17" ca="1">AND(ConitionalTable[[#This Row],[Column1]]=BoolYes,ConitionalTable[[#This Row],[Column2]]&lt;&gt;"BadValue",OR(ConitionalTable[[#This Row],[Column3]]&gt;0, NOT(SampleOptionTable[UseCol3])))</f>
        <v>0</v>
      </c>
      <c r="N17" t="b">
        <v>0</v>
      </c>
    </row>
    <row r="18" spans="1:14" ht="14.25" x14ac:dyDescent="0.2">
      <c r="A18" s="17" t="s">
        <v>55</v>
      </c>
      <c r="B18" s="3" t="s">
        <v>56</v>
      </c>
      <c r="C18" s="3" t="s">
        <v>10</v>
      </c>
      <c r="D18" s="3" t="s">
        <v>57</v>
      </c>
      <c r="E18" s="3" t="s">
        <v>58</v>
      </c>
      <c r="F18" s="3" t="s">
        <v>59</v>
      </c>
      <c r="G18" s="3" t="s">
        <v>13</v>
      </c>
      <c r="I18" t="b">
        <v>0</v>
      </c>
      <c r="L18" t="b" cm="1">
        <f t="array" aca="1" ref="L18" ca="1">AND(ConitionalTable[[#This Row],[Column1]]=BoolYes,ConitionalTable[[#This Row],[Column2]]&lt;&gt;"BadValue",OR(ConitionalTable[[#This Row],[Column3]]&gt;0, NOT(SampleOptionTable[UseCol3])))</f>
        <v>0</v>
      </c>
    </row>
    <row r="19" spans="1:14" ht="14.25" x14ac:dyDescent="0.2">
      <c r="A19" s="18" t="s">
        <v>60</v>
      </c>
      <c r="B19" s="3" t="s">
        <v>9</v>
      </c>
      <c r="C19" s="3" t="s">
        <v>10</v>
      </c>
      <c r="D19" s="3" t="s">
        <v>61</v>
      </c>
      <c r="E19" s="3" t="s">
        <v>62</v>
      </c>
      <c r="F19" s="3" t="s">
        <v>13</v>
      </c>
      <c r="G19" s="3" t="s">
        <v>13</v>
      </c>
      <c r="I19" t="b">
        <v>0</v>
      </c>
      <c r="L19" t="b" cm="1">
        <f t="array" aca="1" ref="L19" ca="1">AND(ConitionalTable[[#This Row],[Column1]]=BoolYes,ConitionalTable[[#This Row],[Column2]]&lt;&gt;"BadValue",OR(ConitionalTable[[#This Row],[Column3]]&gt;0, NOT(SampleOptionTable[UseCol3])))</f>
        <v>0</v>
      </c>
    </row>
    <row r="20" spans="1:14" ht="14.25" x14ac:dyDescent="0.2">
      <c r="A20" s="19" t="s">
        <v>63</v>
      </c>
      <c r="B20" s="3" t="s">
        <v>9</v>
      </c>
      <c r="C20" s="3" t="s">
        <v>10</v>
      </c>
      <c r="D20" s="3" t="s">
        <v>61</v>
      </c>
      <c r="E20" s="3" t="s">
        <v>64</v>
      </c>
      <c r="F20" s="3" t="s">
        <v>13</v>
      </c>
      <c r="G20" s="3" t="s">
        <v>13</v>
      </c>
      <c r="I20" t="b">
        <v>0</v>
      </c>
      <c r="L20" t="b" cm="1">
        <f t="array" aca="1" ref="L20" ca="1">AND(ConitionalTable[[#This Row],[Column1]]=BoolYes,ConitionalTable[[#This Row],[Column2]]&lt;&gt;"BadValue",OR(ConitionalTable[[#This Row],[Column3]]&gt;0, NOT(SampleOptionTable[UseCol3])))</f>
        <v>0</v>
      </c>
    </row>
    <row r="21" spans="1:14" ht="14.25" x14ac:dyDescent="0.2">
      <c r="A21" s="20" t="s">
        <v>65</v>
      </c>
      <c r="B21" s="3" t="s">
        <v>38</v>
      </c>
      <c r="C21" s="3" t="s">
        <v>10</v>
      </c>
      <c r="D21" s="3" t="s">
        <v>61</v>
      </c>
      <c r="E21" s="3" t="s">
        <v>66</v>
      </c>
      <c r="F21" s="3" t="s">
        <v>13</v>
      </c>
      <c r="G21" s="3" t="s">
        <v>13</v>
      </c>
      <c r="L21" t="b" cm="1">
        <f t="array" aca="1" ref="L21" ca="1">AND(ConitionalTable[[#This Row],[Column1]]=BoolYes,ConitionalTable[[#This Row],[Column2]]&lt;&gt;"BadValue",OR(ConitionalTable[[#This Row],[Column3]]&gt;0, NOT(SampleOptionTable[UseCol3])))</f>
        <v>0</v>
      </c>
    </row>
    <row r="22" spans="1:14" ht="14.25" x14ac:dyDescent="0.2">
      <c r="A22" s="21" t="s">
        <v>67</v>
      </c>
      <c r="B22" s="3" t="s">
        <v>38</v>
      </c>
      <c r="C22" s="3" t="s">
        <v>10</v>
      </c>
      <c r="D22" s="3" t="s">
        <v>61</v>
      </c>
      <c r="E22" s="3" t="s">
        <v>68</v>
      </c>
      <c r="F22" s="3" t="s">
        <v>13</v>
      </c>
      <c r="G22" s="3" t="s">
        <v>13</v>
      </c>
    </row>
    <row r="25" spans="1:14" x14ac:dyDescent="0.15">
      <c r="B25" s="25" t="s">
        <v>69</v>
      </c>
      <c r="C25" s="26"/>
      <c r="D25" s="27"/>
    </row>
    <row r="26" spans="1:14" ht="14.25" x14ac:dyDescent="0.2">
      <c r="B26" s="28" t="s">
        <v>70</v>
      </c>
      <c r="C26" s="29" t="s">
        <v>71</v>
      </c>
      <c r="D26" s="30" t="s">
        <v>72</v>
      </c>
    </row>
    <row r="27" spans="1:14" ht="14.25" x14ac:dyDescent="0.2">
      <c r="B27" s="31" t="s">
        <v>73</v>
      </c>
      <c r="C27" s="32" t="s">
        <v>74</v>
      </c>
      <c r="D27" s="31" t="s">
        <v>75</v>
      </c>
    </row>
    <row r="29" spans="1:14" x14ac:dyDescent="0.15">
      <c r="B29" t="s">
        <v>76</v>
      </c>
      <c r="C29" t="s">
        <v>77</v>
      </c>
      <c r="D29" t="s">
        <v>78</v>
      </c>
    </row>
    <row r="32" spans="1:14" x14ac:dyDescent="0.15">
      <c r="B32" t="s">
        <v>79</v>
      </c>
      <c r="D32">
        <f>SUBTOTAL(103,InputSampleTable[CalcColumn3])</f>
        <v>0</v>
      </c>
    </row>
    <row r="34" spans="2:4" x14ac:dyDescent="0.15">
      <c r="B34" t="s">
        <v>76</v>
      </c>
      <c r="C34" t="s">
        <v>80</v>
      </c>
      <c r="D34" t="s">
        <v>78</v>
      </c>
    </row>
    <row r="37" spans="2:4" x14ac:dyDescent="0.15">
      <c r="B37" t="s">
        <v>79</v>
      </c>
      <c r="D37">
        <f>SUBTOTAL(103,IntSampleTable[CalcColumn3])</f>
        <v>0</v>
      </c>
    </row>
    <row r="39" spans="2:4" x14ac:dyDescent="0.15">
      <c r="B39" t="s">
        <v>76</v>
      </c>
      <c r="C39" t="s">
        <v>81</v>
      </c>
      <c r="D39" t="s">
        <v>78</v>
      </c>
    </row>
    <row r="42" spans="2:4" x14ac:dyDescent="0.15">
      <c r="B42" t="s">
        <v>79</v>
      </c>
      <c r="D42">
        <f>SUBTOTAL(103,QuerySampleTable[CalcColumn3])</f>
        <v>0</v>
      </c>
    </row>
  </sheetData>
  <mergeCells count="3">
    <mergeCell ref="A1:G1"/>
    <mergeCell ref="B25:D25"/>
    <mergeCell ref="I1:L1"/>
  </mergeCells>
  <phoneticPr fontId="22" type="noConversion"/>
  <conditionalFormatting sqref="J3:J21">
    <cfRule type="expression" dxfId="7" priority="7">
      <formula>J3="BadValue"</formula>
    </cfRule>
  </conditionalFormatting>
  <conditionalFormatting sqref="L3:L21">
    <cfRule type="expression" dxfId="6" priority="6">
      <formula>$J3="BadValue"</formula>
    </cfRule>
  </conditionalFormatting>
  <conditionalFormatting sqref="J2">
    <cfRule type="expression" dxfId="5" priority="4">
      <formula>_xlfn.XMATCH("BadValue", $J$3:$J$21, 0, 1) &gt; 0</formula>
    </cfRule>
  </conditionalFormatting>
  <conditionalFormatting sqref="K3:K21">
    <cfRule type="expression" dxfId="4" priority="2">
      <formula>NOT($N$17)</formula>
    </cfRule>
  </conditionalFormatting>
  <conditionalFormatting sqref="K2">
    <cfRule type="expression" dxfId="0" priority="1">
      <formula>NOT($N$17)</formula>
    </cfRule>
  </conditionalFormatting>
  <dataValidations count="1">
    <dataValidation type="list" allowBlank="1" showInputMessage="1" showErrorMessage="1" sqref="I3:I21 N17" xr:uid="{F3E6DA43-15B6-444A-ADB1-B2D9B95B90E8}">
      <formula1>BoolName</formula1>
    </dataValidation>
  </dataValidations>
  <pageMargins left="0.7" right="0.7" top="0.75" bottom="0.75" header="0.3" footer="0.3"/>
  <pageSetup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0E59-84AE-40A8-B4F3-000113DE30EE}">
  <sheetPr codeName="Sheet1">
    <tabColor rgb="FFC00000"/>
  </sheetPr>
  <dimension ref="A1:D8"/>
  <sheetViews>
    <sheetView zoomScale="145" zoomScaleNormal="145" workbookViewId="0">
      <selection activeCell="D7" sqref="D7"/>
    </sheetView>
  </sheetViews>
  <sheetFormatPr defaultRowHeight="13.5" x14ac:dyDescent="0.15"/>
  <cols>
    <col min="1" max="1" width="8" bestFit="1" customWidth="1"/>
    <col min="2" max="2" width="2.21875" customWidth="1"/>
    <col min="3" max="3" width="5" bestFit="1" customWidth="1"/>
    <col min="4" max="4" width="6" bestFit="1" customWidth="1"/>
  </cols>
  <sheetData>
    <row r="1" spans="1:4" x14ac:dyDescent="0.15">
      <c r="A1" s="22" t="s">
        <v>83</v>
      </c>
      <c r="C1" s="25" t="s">
        <v>88</v>
      </c>
      <c r="D1" s="27"/>
    </row>
    <row r="2" spans="1:4" x14ac:dyDescent="0.15">
      <c r="A2" s="23" t="s">
        <v>82</v>
      </c>
      <c r="C2" s="23" t="s">
        <v>84</v>
      </c>
      <c r="D2" s="23" t="s">
        <v>85</v>
      </c>
    </row>
    <row r="3" spans="1:4" x14ac:dyDescent="0.15">
      <c r="A3" s="23" t="b">
        <v>1</v>
      </c>
      <c r="C3" s="23" t="b" cm="1">
        <f t="array" aca="1" ref="C3" ca="1">OFFSET( BoolName, 0, 0, 1, 1)</f>
        <v>1</v>
      </c>
      <c r="D3" s="23" t="b" cm="1">
        <f t="array" aca="1" ref="D3" ca="1">OFFSET( BoolName, 1, 0, 1, 1)</f>
        <v>0</v>
      </c>
    </row>
    <row r="4" spans="1:4" x14ac:dyDescent="0.15">
      <c r="A4" s="23" t="b">
        <v>0</v>
      </c>
    </row>
    <row r="6" spans="1:4" x14ac:dyDescent="0.15">
      <c r="A6" s="22" t="s">
        <v>89</v>
      </c>
    </row>
    <row r="7" spans="1:4" x14ac:dyDescent="0.15">
      <c r="A7" s="23" t="s">
        <v>91</v>
      </c>
    </row>
    <row r="8" spans="1:4" x14ac:dyDescent="0.15">
      <c r="A8" s="23" t="s">
        <v>92</v>
      </c>
    </row>
  </sheetData>
  <mergeCells count="1">
    <mergeCell ref="C1:D1"/>
  </mergeCells>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5931D-05DD-4654-9CC3-B6FD5885F58C}">
  <dimension ref="A1"/>
  <sheetViews>
    <sheetView workbookViewId="0"/>
  </sheetViews>
  <sheetFormatPr defaultRowHeight="13.5" x14ac:dyDescent="0.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Key</vt:lpstr>
      <vt:lpstr>List</vt:lpstr>
      <vt:lpstr>Sheet1</vt:lpstr>
      <vt:lpstr>BoolName</vt:lpstr>
      <vt:lpstr>BoolNo</vt:lpstr>
      <vt:lpstr>BoolYes</vt:lpstr>
      <vt:lpstr>LNF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Taylor</dc:creator>
  <cp:lastModifiedBy>Ryan Taylor</cp:lastModifiedBy>
  <dcterms:created xsi:type="dcterms:W3CDTF">2021-01-25T07:04:48Z</dcterms:created>
  <dcterms:modified xsi:type="dcterms:W3CDTF">2021-01-27T01:19:29Z</dcterms:modified>
</cp:coreProperties>
</file>