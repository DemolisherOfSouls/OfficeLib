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13_ncr:1_{DA51D8B1-471B-4C7F-B0B5-CE27D0F31FA2}" xr6:coauthVersionLast="46" xr6:coauthVersionMax="46" xr10:uidLastSave="{00000000-0000-0000-0000-000000000000}"/>
  <bookViews>
    <workbookView xWindow="-26192" yWindow="-109" windowWidth="26301" windowHeight="14427" xr2:uid="{D099C927-7E7A-4799-8725-69E24790C988}"/>
  </bookViews>
  <sheets>
    <sheet name="Key" sheetId="1" r:id="rId1"/>
    <sheet name="List" sheetId="2" r:id="rId2"/>
    <sheet name="Sheet1" sheetId="3" r:id="rId3"/>
  </sheets>
  <definedNames>
    <definedName name="_xlpm.b" hidden="1" xlm="1">#NAME?</definedName>
    <definedName name="_xlpm.bo" hidden="1" xlm="1">#NAME?</definedName>
    <definedName name="_xlpm.box" hidden="1" xlm="1">#NAME?</definedName>
    <definedName name="_xlpm.boxh" hidden="1" xlm="1">#NAME?</definedName>
    <definedName name="_xlpm.boxhd" hidden="1" xlm="1">#NAME?</definedName>
    <definedName name="_xlpm.cact" hidden="1" xlm="1">#NAME?</definedName>
    <definedName name="_xlpm.calccell" hidden="1" xlm="1">#NAME?</definedName>
    <definedName name="_xlpm.calckey" hidden="1" xlm="1">#NAME?</definedName>
    <definedName name="_xlpm.calcval" hidden="1" xlm="1">#NAME?</definedName>
    <definedName name="_xlpm.cbox" hidden="1" xlm="1">#NAME?</definedName>
    <definedName name="_xlpm.cchd" hidden="1" xlm="1">#NAME?</definedName>
    <definedName name="_xlpm.cdat" hidden="1" xlm="1">#NAME?</definedName>
    <definedName name="_xlpm.cdhk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cval" hidden="1" xlm="1">#NAME?</definedName>
    <definedName name="_xlpm.deaccell" hidden="1" xlm="1">#NAME?</definedName>
    <definedName name="_xlpm.deachdkey" hidden="1" xlm="1">#NAME?</definedName>
    <definedName name="_xlpm.l" hidden="1" xlm="1">#NAME?</definedName>
    <definedName name="_xlpm.l_" hidden="1" xlm="1">#NAME?</definedName>
    <definedName name="_xlpm.l_t" hidden="1" xlm="1">#NAME?</definedName>
    <definedName name="_xlpm.l_th" hidden="1" xlm="1">#NAME?</definedName>
    <definedName name="_xlpm.l_thr" hidden="1" xlm="1">#NAME?</definedName>
    <definedName name="_xlpm.l_thre" hidden="1" xlm="1">#NAME?</definedName>
    <definedName name="_xlpm.l_three" hidden="1" xlm="1">#NAME?</definedName>
    <definedName name="_xlpm.r" hidden="1" xlm="1">#NAME?</definedName>
    <definedName name="_xlpm.r_" hidden="1" xlm="1">#NAME?</definedName>
    <definedName name="_xlpm.r_f" hidden="1" xlm="1">#NAME?</definedName>
    <definedName name="_xlpm.r_fi" hidden="1" xlm="1">#NAME?</definedName>
    <definedName name="_xlpm.r_fiv" hidden="1" xlm="1">#NAME?</definedName>
    <definedName name="_xlpm.r_five" hidden="1" xlm="1">#NAME?</definedName>
    <definedName name="_xlpm.r_fo" hidden="1" xlm="1">#NAME?</definedName>
    <definedName name="_xlpm.r_fou" hidden="1" xlm="1">#NAME?</definedName>
    <definedName name="_xlpm.r_four" hidden="1" xlm="1">#NAME?</definedName>
    <definedName name="_xlpm.r_six" hidden="1" xlm="1">#NAME?</definedName>
    <definedName name="_xlpm.r_three" hidden="1" xlm="1">#NAME?</definedName>
    <definedName name="_xlpm.r_tw" hidden="1" xlm="1">#NAME?</definedName>
    <definedName name="_xlpm.r_two" hidden="1" xlm="1">#NAME?</definedName>
    <definedName name="_xlpm.s" hidden="1" xlm="1">#NAME?</definedName>
    <definedName name="_xlpm.xx" hidden="1" xlm="1">#NAME?</definedName>
    <definedName name="BoolName">BoolTable[Bool]</definedName>
    <definedName name="BoolNo">BoolValueTable[N]</definedName>
    <definedName name="BoolYes">BoolValueTable[Y]</definedName>
    <definedName name="CellTypeName">KeyTable[Cell Name]</definedName>
    <definedName name="LNF" comment="Lookup Not Found">LNFTable[LNF]</definedName>
    <definedName name="TypeNoteName">_xlfn.UNIQUE(KeyTable[Typing Notes])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KeyTable_819bfb76-0bdf-47c6-8fb9-3655f7c737f7" name="KeyTable" connection="Query - KeyTable"/>
          <x15:modelTable id="Colors_355ea822-8862-414c-b286-5aefc0c7b50c" name="Colors" connection="Query - Color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 a="1"/>
  <c r="J3" i="1" s="1"/>
  <c r="J4" i="1" a="1"/>
  <c r="J4" i="1" s="1"/>
  <c r="J5" i="1" a="1"/>
  <c r="J5" i="1" s="1"/>
  <c r="J6" i="1" a="1"/>
  <c r="J6" i="1" s="1"/>
  <c r="J7" i="1" a="1"/>
  <c r="J7" i="1" s="1"/>
  <c r="J8" i="1" a="1"/>
  <c r="J8" i="1" s="1"/>
  <c r="J9" i="1" a="1"/>
  <c r="J9" i="1" s="1"/>
  <c r="J10" i="1" a="1"/>
  <c r="J10" i="1" s="1"/>
  <c r="J11" i="1" a="1"/>
  <c r="J11" i="1" s="1"/>
  <c r="J12" i="1" a="1"/>
  <c r="J12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G3" i="2" l="1"/>
  <c r="F3" i="2"/>
  <c r="C63" i="1"/>
  <c r="D61" i="1" s="1"/>
  <c r="D66" i="1"/>
  <c r="D67" i="1"/>
  <c r="C68" i="1"/>
  <c r="D56" i="1"/>
  <c r="D57" i="1"/>
  <c r="D68" i="1" l="1"/>
  <c r="D58" i="1"/>
  <c r="D62" i="1"/>
  <c r="D63" i="1" s="1"/>
  <c r="E3" i="2" a="1"/>
  <c r="E3" i="2" s="1"/>
  <c r="D3" i="2" a="1"/>
  <c r="D3" i="2" s="1"/>
  <c r="Q3" i="1" l="1" a="1"/>
  <c r="Q3" i="1" s="1"/>
  <c r="Q9" i="1" a="1"/>
  <c r="Q9" i="1" s="1"/>
  <c r="Q15" i="1" a="1"/>
  <c r="Q15" i="1" s="1"/>
  <c r="Q21" i="1" a="1"/>
  <c r="Q21" i="1" s="1"/>
  <c r="Q4" i="1" a="1"/>
  <c r="Q4" i="1" s="1"/>
  <c r="Q10" i="1" a="1"/>
  <c r="Q10" i="1" s="1"/>
  <c r="Q16" i="1" a="1"/>
  <c r="Q16" i="1" s="1"/>
  <c r="Q5" i="1" a="1"/>
  <c r="Q5" i="1" s="1"/>
  <c r="Q11" i="1" a="1"/>
  <c r="Q11" i="1" s="1"/>
  <c r="Q17" i="1" a="1"/>
  <c r="Q17" i="1" s="1"/>
  <c r="Q13" i="1" a="1"/>
  <c r="Q13" i="1" s="1"/>
  <c r="Q14" i="1" a="1"/>
  <c r="Q14" i="1" s="1"/>
  <c r="Q6" i="1" a="1"/>
  <c r="Q6" i="1" s="1"/>
  <c r="Q18" i="1" a="1"/>
  <c r="Q18" i="1" s="1"/>
  <c r="Q7" i="1" a="1"/>
  <c r="Q7" i="1" s="1"/>
  <c r="Q19" i="1" a="1"/>
  <c r="Q19" i="1" s="1"/>
  <c r="Q20" i="1" a="1"/>
  <c r="Q20" i="1" s="1"/>
  <c r="Q12" i="1" a="1"/>
  <c r="Q12" i="1" s="1"/>
  <c r="Q8" i="1" a="1"/>
  <c r="Q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4DED9-929A-4177-B546-E5E997B1C552}" name="Query - Colors" description="Connection to the 'Colors' query in the workbook." type="100" refreshedVersion="6" minRefreshableVersion="5">
    <extLst>
      <ext xmlns:x15="http://schemas.microsoft.com/office/spreadsheetml/2010/11/main" uri="{DE250136-89BD-433C-8126-D09CA5730AF9}">
        <x15:connection id="2008d000-311e-4cb5-a872-ab756b7770e2"/>
      </ext>
    </extLst>
  </connection>
  <connection id="2" xr16:uid="{BF9FDC21-61A2-4F21-900C-228B47ACC0CF}" name="Query - KeyTable" description="Connection to the 'KeyTable' query in the workbook." type="100" refreshedVersion="6" minRefreshableVersion="5">
    <extLst>
      <ext xmlns:x15="http://schemas.microsoft.com/office/spreadsheetml/2010/11/main" uri="{DE250136-89BD-433C-8126-D09CA5730AF9}">
        <x15:connection id="f7e82c45-a653-44ae-9dda-6720185fb635"/>
      </ext>
    </extLst>
  </connection>
  <connection id="3" xr16:uid="{E778838B-A98B-4698-9FD0-E6913B33E26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<sst xmlns="http://schemas.openxmlformats.org/spreadsheetml/2006/main" count="461" uniqueCount="200">
  <si>
    <t>Table Color Explanations</t>
  </si>
  <si>
    <t>Cell Name</t>
  </si>
  <si>
    <t>Where Used</t>
  </si>
  <si>
    <t>Typing Notes</t>
  </si>
  <si>
    <t>Warnings</t>
  </si>
  <si>
    <t>BgColor</t>
  </si>
  <si>
    <t>TxColor</t>
  </si>
  <si>
    <t>PtColor</t>
  </si>
  <si>
    <t>Table Headers, Total Rows</t>
  </si>
  <si>
    <t>Do not type in this cell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</si>
  <si>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</si>
  <si>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</si>
  <si>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</si>
  <si>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</si>
  <si>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</si>
  <si>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</si>
  <si>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Type in this cell</t>
  </si>
  <si>
    <t>None</t>
  </si>
  <si>
    <t>Input Cell</t>
  </si>
  <si>
    <t>Tables, Input Cells</t>
  </si>
  <si>
    <t>Top of Sheets, Tables, &amp; Objects</t>
  </si>
  <si>
    <t>Tables</t>
  </si>
  <si>
    <t>This cell has an error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</si>
  <si>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</si>
  <si>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</si>
  <si>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</si>
  <si>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</si>
  <si>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</si>
  <si>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</t>
  </si>
  <si>
    <t>Internal Cell</t>
  </si>
  <si>
    <t>Other Cell Styles</t>
  </si>
  <si>
    <t>HyperLink</t>
  </si>
  <si>
    <t>Bahnschrift Condensed 11pt</t>
  </si>
  <si>
    <t>Key1</t>
  </si>
  <si>
    <t>InputColumn2</t>
  </si>
  <si>
    <t>CalcColumn3</t>
  </si>
  <si>
    <t>Internal2</t>
  </si>
  <si>
    <t>QueryColumn2</t>
  </si>
  <si>
    <t>Bool</t>
  </si>
  <si>
    <t>Y</t>
  </si>
  <si>
    <t>N</t>
  </si>
  <si>
    <t>Cell will contain a formula or query output</t>
  </si>
  <si>
    <t>BoolValues</t>
  </si>
  <si>
    <t>LNF</t>
  </si>
  <si>
    <t>Column1</t>
  </si>
  <si>
    <t>N/A</t>
  </si>
  <si>
    <t>Column2</t>
  </si>
  <si>
    <t>Column3</t>
  </si>
  <si>
    <t>Conditional Formatting</t>
  </si>
  <si>
    <t>Result</t>
  </si>
  <si>
    <t>Value</t>
  </si>
  <si>
    <t>BadValue</t>
  </si>
  <si>
    <t>Caution</t>
  </si>
  <si>
    <t>Deactivated Header</t>
  </si>
  <si>
    <t>Column has been deactivated by a formula</t>
  </si>
  <si>
    <t>UseCol3</t>
  </si>
  <si>
    <t>Fmt Notes</t>
  </si>
  <si>
    <t>Data Required</t>
  </si>
  <si>
    <t>Box Header</t>
  </si>
  <si>
    <t>Box Cell</t>
  </si>
  <si>
    <t>Centered HV</t>
  </si>
  <si>
    <t>Sheet, Table, &amp; Object Options</t>
  </si>
  <si>
    <t>Input Key Header</t>
  </si>
  <si>
    <t>Input Key</t>
  </si>
  <si>
    <t>InputKey1</t>
  </si>
  <si>
    <t>Standard Text</t>
  </si>
  <si>
    <t>Tight Text</t>
  </si>
  <si>
    <t>#0563C1 B,UL OCRB 11pt</t>
  </si>
  <si>
    <t>Normal</t>
  </si>
  <si>
    <t>xCond</t>
  </si>
  <si>
    <t>#954F72 B,UL OCRB 11pt</t>
  </si>
  <si>
    <t>KeyCell 1</t>
  </si>
  <si>
    <t>KeyCell 2</t>
  </si>
  <si>
    <t>Input Value</t>
  </si>
  <si>
    <t>IntKey 1</t>
  </si>
  <si>
    <t>IntKey 2</t>
  </si>
  <si>
    <t>QueKey 1</t>
  </si>
  <si>
    <t>QueKey 2</t>
  </si>
  <si>
    <t>Query Value</t>
  </si>
  <si>
    <t>Query Error</t>
  </si>
  <si>
    <t>Followed Hyperlink</t>
  </si>
  <si>
    <t>Total:</t>
  </si>
  <si>
    <t>Query Cell</t>
  </si>
  <si>
    <t>Query Header</t>
  </si>
  <si>
    <t>Query Key Header</t>
  </si>
  <si>
    <t>QueryKey1</t>
  </si>
  <si>
    <t>Pattern Set, Italics</t>
  </si>
  <si>
    <t>Font</t>
  </si>
  <si>
    <t>Bahnschrift</t>
  </si>
  <si>
    <t>Bahnschrift 11pt</t>
  </si>
  <si>
    <t>Sets Font Only</t>
  </si>
  <si>
    <t>Error Key Header</t>
  </si>
  <si>
    <t>Error Header</t>
  </si>
  <si>
    <t>Query Key</t>
  </si>
  <si>
    <t>Calculated Header</t>
  </si>
  <si>
    <t>Error Cell</t>
  </si>
  <si>
    <t>Error Key</t>
  </si>
  <si>
    <t>Active Error</t>
  </si>
  <si>
    <t>Active Good</t>
  </si>
  <si>
    <t>Active Missing</t>
  </si>
  <si>
    <t>Cell in this column has an error</t>
  </si>
  <si>
    <t>Cell in this row has an error</t>
  </si>
  <si>
    <t>A related cell has an error</t>
  </si>
  <si>
    <t>Internal Note</t>
  </si>
  <si>
    <t>Tables, Output Cells, Labels</t>
  </si>
  <si>
    <t>A1D50</t>
  </si>
  <si>
    <t>T1L35</t>
  </si>
  <si>
    <t>T1</t>
  </si>
  <si>
    <t>B1D25</t>
  </si>
  <si>
    <t>T2</t>
  </si>
  <si>
    <t>Deactivated Key Header</t>
  </si>
  <si>
    <t>Deactivated Cell</t>
  </si>
  <si>
    <t>A4L80</t>
  </si>
  <si>
    <t>A6L80</t>
  </si>
  <si>
    <t>Active Disabled</t>
  </si>
  <si>
    <t>T1L50</t>
  </si>
  <si>
    <t>B1D50</t>
  </si>
  <si>
    <t>B1</t>
  </si>
  <si>
    <t>A5L80</t>
  </si>
  <si>
    <t>A3L80</t>
  </si>
  <si>
    <t>A4D50</t>
  </si>
  <si>
    <t>A6D50</t>
  </si>
  <si>
    <t>A5D50</t>
  </si>
  <si>
    <t>A3D50</t>
  </si>
  <si>
    <t>OCRB</t>
  </si>
  <si>
    <t>A4</t>
  </si>
  <si>
    <t>A1L80</t>
  </si>
  <si>
    <t>A3</t>
  </si>
  <si>
    <t>Box D/V</t>
  </si>
  <si>
    <t>A1</t>
  </si>
  <si>
    <t>Query D/V</t>
  </si>
  <si>
    <t>Error D/V</t>
  </si>
  <si>
    <t>A5</t>
  </si>
  <si>
    <t>A6</t>
  </si>
  <si>
    <t>Internal D/V</t>
  </si>
  <si>
    <t>Calculated D/V</t>
  </si>
  <si>
    <t>Calculated Key Header</t>
  </si>
  <si>
    <t>Cell will contain a formula or header</t>
  </si>
  <si>
    <t>YN</t>
  </si>
  <si>
    <t>Yes</t>
  </si>
  <si>
    <t>No</t>
  </si>
  <si>
    <t>YNVal</t>
  </si>
  <si>
    <t>A1L60</t>
  </si>
  <si>
    <t>A5L60</t>
  </si>
  <si>
    <t>StyleName</t>
  </si>
  <si>
    <t>CalcHdKey</t>
  </si>
  <si>
    <t>CalcHd</t>
  </si>
  <si>
    <t>CalcVal</t>
  </si>
  <si>
    <t>CalcCell</t>
  </si>
  <si>
    <t>QueVal</t>
  </si>
  <si>
    <t>IntVal</t>
  </si>
  <si>
    <t>xMono</t>
  </si>
  <si>
    <t>Monospaced Text</t>
  </si>
  <si>
    <t>OCRB 11pt</t>
  </si>
  <si>
    <t>IntKey</t>
  </si>
  <si>
    <t>IntHd</t>
  </si>
  <si>
    <t>IntHdKey</t>
  </si>
  <si>
    <t>IntCell</t>
  </si>
  <si>
    <t>ActNote</t>
  </si>
  <si>
    <t>QueHdKey</t>
  </si>
  <si>
    <t>QueCell</t>
  </si>
  <si>
    <t>QueKey</t>
  </si>
  <si>
    <t>QueHd</t>
  </si>
  <si>
    <t>ActGood</t>
  </si>
  <si>
    <t>ActMiss</t>
  </si>
  <si>
    <t>ActError</t>
  </si>
  <si>
    <t>InpKey</t>
  </si>
  <si>
    <t>InpCell</t>
  </si>
  <si>
    <t>InpVal</t>
  </si>
  <si>
    <t>InpHd</t>
  </si>
  <si>
    <t>InpHdKey</t>
  </si>
  <si>
    <t>ErrHdKey</t>
  </si>
  <si>
    <t>ErrHd</t>
  </si>
  <si>
    <t>ErrVal</t>
  </si>
  <si>
    <t>ErrKey</t>
  </si>
  <si>
    <t>ErrCell</t>
  </si>
  <si>
    <t>BoxCell</t>
  </si>
  <si>
    <t>BoxVal</t>
  </si>
  <si>
    <t>BoxHd</t>
  </si>
  <si>
    <t>ActDeac</t>
  </si>
  <si>
    <t>InpDate</t>
  </si>
  <si>
    <t>Input Date</t>
  </si>
  <si>
    <t>Date Format</t>
  </si>
  <si>
    <t>DeacHdKey</t>
  </si>
  <si>
    <t>DeacHd</t>
  </si>
  <si>
    <t>DeacCell</t>
  </si>
  <si>
    <t>Base</t>
  </si>
  <si>
    <t>A2</t>
  </si>
  <si>
    <t>CalcKey</t>
  </si>
  <si>
    <t>Calculated Key</t>
  </si>
  <si>
    <t>B2</t>
  </si>
  <si>
    <t>Pattern Set</t>
  </si>
  <si>
    <t>A2L80</t>
  </si>
  <si>
    <t>Active Note</t>
  </si>
  <si>
    <t>ActBox</t>
  </si>
  <si>
    <t>Notes and Instructions</t>
  </si>
  <si>
    <t>Cell will contain information</t>
  </si>
  <si>
    <t>A2D50</t>
  </si>
  <si>
    <t>B1L80</t>
  </si>
  <si>
    <t>Fnt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</si>
</sst>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mm\-dd\-yy"/>
  </numFmts>
  <fonts count="47" x14ac:knownFonts="1">
    <font>
      <sz val="11"/>
      <color theme="1"/>
      <name val="Bahnschrift"/>
      <family val="2"/>
      <scheme val="major"/>
    </font>
    <font>
      <sz val="11"/>
      <color theme="1"/>
      <name val="Bahnschrift Condensed"/>
      <family val="2"/>
      <scheme val="minor"/>
    </font>
    <font>
      <sz val="11"/>
      <color theme="1"/>
      <name val="Calibri"/>
      <family val="2"/>
    </font>
    <font>
      <sz val="11"/>
      <color theme="1"/>
      <name val="OCRB"/>
      <family val="3"/>
    </font>
    <font>
      <sz val="18"/>
      <color theme="3"/>
      <name val="Bahnschrif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8"/>
      <name val="OCRB"/>
      <family val="3"/>
    </font>
    <font>
      <sz val="11"/>
      <color theme="1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3" tint="0.7999816888943144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4" tint="0.59999389629810485"/>
      <name val="OCRB"/>
      <family val="3"/>
    </font>
    <font>
      <sz val="11"/>
      <color theme="3"/>
      <name val="OCRB"/>
      <family val="3"/>
    </font>
    <font>
      <sz val="11"/>
      <color theme="0" tint="0.59999389629810485"/>
      <name val="Bahnschrift"/>
      <family val="2"/>
      <scheme val="major"/>
    </font>
    <font>
      <sz val="16"/>
      <color theme="4" tint="0.79992065187536243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</fonts>
  <fills count="8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darkDown">
        <fgColor theme="8" tint="0.59996337778862885"/>
        <b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darkDown">
        <fgColor theme="6" tint="0.79998168889431442"/>
        <bgColor theme="6" tint="0.59996337778862885"/>
      </patternFill>
    </fill>
    <fill>
      <patternFill patternType="darkDown">
        <fgColor theme="9" tint="0.79998168889431442"/>
        <bgColor theme="9" tint="0.39994506668294322"/>
      </patternFill>
    </fill>
    <fill>
      <patternFill patternType="darkDown">
        <fgColor theme="3"/>
        <bgColor theme="3"/>
      </patternFill>
    </fill>
    <fill>
      <patternFill patternType="darkDown">
        <fgColor theme="0"/>
        <bgColor theme="0"/>
      </patternFill>
    </fill>
    <fill>
      <patternFill patternType="solid">
        <fgColor theme="7"/>
        <bgColor indexed="64"/>
      </patternFill>
    </fill>
    <fill>
      <patternFill patternType="darkDown">
        <fgColor theme="1" tint="0.34998626667073579"/>
        <bgColor theme="0"/>
      </patternFill>
    </fill>
    <fill>
      <patternFill patternType="solid">
        <fgColor theme="6"/>
        <bgColor auto="1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darkDown">
        <fgColor theme="9" tint="0.79998168889431442"/>
        <bgColor theme="9" tint="0.39991454817346722"/>
      </patternFill>
    </fill>
    <fill>
      <patternFill patternType="darkDown">
        <fgColor theme="7" tint="0.79998168889431442"/>
        <b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2" tint="-4.9989318521683403E-2"/>
        <bgColor indexed="64"/>
      </patternFill>
    </fill>
    <fill>
      <patternFill patternType="darkDown">
        <fgColor theme="3"/>
        <bgColor theme="3" tint="-0.499984740745262"/>
      </patternFill>
    </fill>
    <fill>
      <patternFill patternType="darkDown">
        <fgColor theme="4" tint="0.79998168889431442"/>
        <bgColor theme="4" tint="0.39991454817346722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3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</borders>
  <cellStyleXfs count="88">
    <xf numFmtId="0" fontId="0" fillId="0" borderId="0" applyNumberFormat="0" applyFill="0" applyBorder="0" applyAlignment="0" applyProtection="0"/>
    <xf numFmtId="0" fontId="37" fillId="48" borderId="1" applyNumberFormat="0">
      <alignment horizontal="center" vertical="center"/>
    </xf>
    <xf numFmtId="0" fontId="21" fillId="61" borderId="1" applyNumberFormat="0" applyAlignment="0"/>
    <xf numFmtId="0" fontId="21" fillId="5" borderId="1" applyNumberFormat="0" applyAlignment="0"/>
    <xf numFmtId="0" fontId="21" fillId="52" borderId="1" applyNumberFormat="0" applyAlignment="0"/>
    <xf numFmtId="0" fontId="21" fillId="65" borderId="1" applyNumberFormat="0" applyAlignment="0"/>
    <xf numFmtId="0" fontId="1" fillId="6" borderId="1" applyNumberFormat="0" applyFill="0" applyBorder="0" applyAlignment="0" applyProtection="0"/>
    <xf numFmtId="0" fontId="23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7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10" applyNumberFormat="0" applyAlignment="0" applyProtection="0"/>
    <xf numFmtId="0" fontId="12" fillId="11" borderId="11" applyNumberFormat="0" applyAlignment="0" applyProtection="0"/>
    <xf numFmtId="0" fontId="13" fillId="11" borderId="10" applyNumberFormat="0" applyAlignment="0" applyProtection="0"/>
    <xf numFmtId="0" fontId="14" fillId="0" borderId="12" applyNumberFormat="0" applyFill="0" applyAlignment="0" applyProtection="0"/>
    <xf numFmtId="0" fontId="15" fillId="12" borderId="13" applyNumberFormat="0" applyAlignment="0" applyProtection="0"/>
    <xf numFmtId="0" fontId="16" fillId="0" borderId="0" applyNumberFormat="0" applyFill="0" applyBorder="0" applyAlignment="0" applyProtection="0"/>
    <xf numFmtId="0" fontId="3" fillId="13" borderId="14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9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9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9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9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9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39" fillId="60" borderId="1" applyNumberFormat="0" applyAlignment="0">
      <alignment horizontal="left" vertical="center"/>
    </xf>
    <xf numFmtId="0" fontId="22" fillId="0" borderId="0" applyNumberFormat="0" applyFill="0" applyBorder="0" applyAlignment="0" applyProtection="0"/>
    <xf numFmtId="0" fontId="38" fillId="49" borderId="1" applyNumberFormat="0">
      <alignment horizontal="center" vertical="center"/>
    </xf>
    <xf numFmtId="0" fontId="31" fillId="47" borderId="1" applyNumberFormat="0" applyAlignment="0"/>
    <xf numFmtId="0" fontId="3" fillId="6" borderId="1" applyFill="0" applyBorder="0" applyAlignment="0" applyProtection="0"/>
    <xf numFmtId="0" fontId="41" fillId="84" borderId="1" applyNumberFormat="0" applyAlignment="0"/>
    <xf numFmtId="0" fontId="28" fillId="38" borderId="1" applyNumberFormat="0" applyAlignment="0"/>
    <xf numFmtId="0" fontId="40" fillId="63" borderId="1" applyNumberFormat="0" applyAlignment="0"/>
    <xf numFmtId="0" fontId="29" fillId="64" borderId="1" applyNumberFormat="0" applyAlignment="0"/>
    <xf numFmtId="0" fontId="24" fillId="55" borderId="1" applyNumberFormat="0" applyAlignment="0"/>
    <xf numFmtId="0" fontId="35" fillId="38" borderId="1" applyNumberFormat="0" applyAlignment="0"/>
    <xf numFmtId="0" fontId="24" fillId="56" borderId="1" applyNumberFormat="0" applyAlignment="0"/>
    <xf numFmtId="0" fontId="36" fillId="58" borderId="1" applyNumberFormat="0" applyAlignment="0"/>
    <xf numFmtId="0" fontId="32" fillId="53" borderId="1" applyNumberFormat="0" applyAlignment="0"/>
    <xf numFmtId="0" fontId="44" fillId="72" borderId="1" applyNumberFormat="0" applyAlignment="0">
      <protection locked="0"/>
    </xf>
    <xf numFmtId="0" fontId="33" fillId="54" borderId="1" applyNumberFormat="0" applyAlignment="0"/>
    <xf numFmtId="0" fontId="30" fillId="50" borderId="1" applyNumberFormat="0" applyAlignment="0"/>
    <xf numFmtId="0" fontId="30" fillId="51" borderId="1" applyNumberFormat="0" applyAlignment="0"/>
    <xf numFmtId="0" fontId="3" fillId="59" borderId="1" applyNumberFormat="0" applyAlignment="0"/>
    <xf numFmtId="168" fontId="3" fillId="57" borderId="1" applyAlignment="0">
      <alignment horizontal="left"/>
      <protection locked="0"/>
    </xf>
    <xf numFmtId="0" fontId="3" fillId="57" borderId="1" applyNumberFormat="0" applyAlignment="0">
      <alignment horizontal="left"/>
      <protection locked="0"/>
    </xf>
    <xf numFmtId="0" fontId="21" fillId="41" borderId="1" applyNumberFormat="0" applyAlignment="0">
      <protection locked="0"/>
    </xf>
    <xf numFmtId="0" fontId="21" fillId="42" borderId="1" applyNumberFormat="0" applyAlignment="0">
      <protection locked="0"/>
    </xf>
    <xf numFmtId="0" fontId="27" fillId="45" borderId="1" applyNumberFormat="0" applyAlignment="0"/>
    <xf numFmtId="0" fontId="27" fillId="46" borderId="1" applyNumberFormat="0" applyAlignment="0"/>
    <xf numFmtId="0" fontId="3" fillId="4" borderId="1" applyNumberFormat="0" applyAlignment="0"/>
    <xf numFmtId="0" fontId="26" fillId="40" borderId="1" applyNumberFormat="0" applyAlignment="0"/>
    <xf numFmtId="0" fontId="26" fillId="39" borderId="1" applyNumberFormat="0" applyAlignment="0"/>
    <xf numFmtId="0" fontId="25" fillId="43" borderId="1" applyNumberFormat="0" applyAlignment="0"/>
    <xf numFmtId="0" fontId="25" fillId="44" borderId="1" applyNumberFormat="0" applyAlignment="0"/>
    <xf numFmtId="0" fontId="3" fillId="2" borderId="1"/>
    <xf numFmtId="0" fontId="21" fillId="3" borderId="1" applyNumberFormat="0" applyAlignment="0"/>
    <xf numFmtId="0" fontId="21" fillId="62" borderId="1" applyNumberFormat="0" applyAlignment="0"/>
    <xf numFmtId="0" fontId="42" fillId="48" borderId="1" applyNumberFormat="0">
      <alignment horizontal="center" vertical="center"/>
    </xf>
  </cellStyleXfs>
  <cellXfs count="120">
    <xf numFmtId="0" fontId="0" fillId="0" borderId="0" xfId="0"/>
    <xf numFmtId="0" fontId="39" fillId="60" borderId="1" xfId="54" applyNumberFormat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/>
    <xf numFmtId="0" fontId="37" fillId="48" borderId="5" xfId="1" applyBorder="1" applyAlignment="1">
      <alignment horizontal="center"/>
    </xf>
    <xf numFmtId="0" fontId="0" fillId="0" borderId="0" xfId="0" applyAlignment="1">
      <alignment horizontal="center"/>
    </xf>
    <xf numFmtId="0" fontId="37" fillId="48" borderId="1" xfId="1">
      <alignment horizontal="center" vertical="center"/>
    </xf>
    <xf numFmtId="0" fontId="0" fillId="0" borderId="0" xfId="0" applyBorder="1"/>
    <xf numFmtId="0" fontId="21" fillId="0" borderId="1" xfId="0" applyFont="1" applyFill="1" applyBorder="1"/>
    <xf numFmtId="0" fontId="21" fillId="42" borderId="1" xfId="0" applyNumberFormat="1" applyFont="1" applyFill="1" applyBorder="1" applyProtection="1">
      <protection locked="0"/>
    </xf>
    <xf numFmtId="0" fontId="21" fillId="3" borderId="1" xfId="0" applyFont="1" applyFill="1" applyBorder="1"/>
    <xf numFmtId="0" fontId="1" fillId="0" borderId="0" xfId="6" applyFill="1" applyBorder="1" applyAlignment="1">
      <alignment horizontal="center"/>
    </xf>
    <xf numFmtId="0" fontId="3" fillId="0" borderId="0" xfId="58" applyFill="1" applyBorder="1" applyAlignment="1">
      <alignment horizontal="left"/>
    </xf>
    <xf numFmtId="0" fontId="3" fillId="0" borderId="0" xfId="58" applyFill="1" applyBorder="1"/>
    <xf numFmtId="0" fontId="35" fillId="38" borderId="1" xfId="0" applyFont="1" applyFill="1" applyBorder="1"/>
    <xf numFmtId="0" fontId="21" fillId="62" borderId="1" xfId="0" applyFont="1" applyFill="1" applyBorder="1"/>
    <xf numFmtId="0" fontId="3" fillId="2" borderId="1" xfId="0" applyFont="1" applyFill="1" applyBorder="1"/>
    <xf numFmtId="0" fontId="3" fillId="0" borderId="0" xfId="58" applyFill="1" applyBorder="1" applyAlignment="1">
      <alignment horizontal="center"/>
    </xf>
    <xf numFmtId="0" fontId="40" fillId="63" borderId="1" xfId="0" applyFont="1" applyFill="1" applyBorder="1"/>
    <xf numFmtId="0" fontId="24" fillId="56" borderId="1" xfId="0" applyFont="1" applyFill="1" applyBorder="1"/>
    <xf numFmtId="0" fontId="38" fillId="49" borderId="1" xfId="56" applyFont="1" applyBorder="1" applyAlignment="1">
      <alignment horizontal="left" vertical="center"/>
    </xf>
    <xf numFmtId="0" fontId="21" fillId="41" borderId="1" xfId="0" applyFont="1" applyFill="1" applyBorder="1"/>
    <xf numFmtId="0" fontId="30" fillId="51" borderId="1" xfId="71"/>
    <xf numFmtId="0" fontId="0" fillId="65" borderId="1" xfId="0" applyFill="1" applyBorder="1"/>
    <xf numFmtId="0" fontId="21" fillId="52" borderId="1" xfId="4"/>
    <xf numFmtId="0" fontId="3" fillId="57" borderId="1" xfId="0" applyNumberFormat="1" applyFont="1" applyFill="1" applyBorder="1" applyAlignment="1">
      <alignment horizontal="left"/>
    </xf>
    <xf numFmtId="0" fontId="27" fillId="46" borderId="1" xfId="78"/>
    <xf numFmtId="0" fontId="3" fillId="59" borderId="1" xfId="72"/>
    <xf numFmtId="0" fontId="23" fillId="66" borderId="5" xfId="7" applyFill="1" applyBorder="1" applyAlignment="1">
      <alignment horizontal="center"/>
    </xf>
    <xf numFmtId="0" fontId="0" fillId="66" borderId="6" xfId="0" applyFill="1" applyBorder="1" applyAlignment="1">
      <alignment horizontal="center"/>
    </xf>
    <xf numFmtId="0" fontId="22" fillId="67" borderId="5" xfId="55" applyFill="1" applyBorder="1" applyAlignment="1">
      <alignment horizontal="center"/>
    </xf>
    <xf numFmtId="0" fontId="0" fillId="67" borderId="6" xfId="0" applyFill="1" applyBorder="1" applyAlignment="1">
      <alignment horizontal="center"/>
    </xf>
    <xf numFmtId="0" fontId="1" fillId="68" borderId="5" xfId="6" applyFill="1" applyBorder="1" applyAlignment="1">
      <alignment horizontal="center"/>
    </xf>
    <xf numFmtId="0" fontId="1" fillId="68" borderId="16" xfId="6" applyFill="1" applyBorder="1" applyAlignment="1">
      <alignment horizontal="center"/>
    </xf>
    <xf numFmtId="0" fontId="1" fillId="68" borderId="6" xfId="6" applyFill="1" applyBorder="1" applyAlignment="1">
      <alignment horizontal="center"/>
    </xf>
    <xf numFmtId="0" fontId="1" fillId="69" borderId="1" xfId="6" applyFill="1" applyBorder="1" applyAlignment="1">
      <alignment horizontal="center"/>
    </xf>
    <xf numFmtId="0" fontId="0" fillId="70" borderId="16" xfId="0" applyFill="1" applyBorder="1" applyAlignment="1">
      <alignment horizontal="center"/>
    </xf>
    <xf numFmtId="0" fontId="0" fillId="70" borderId="6" xfId="0" applyFill="1" applyBorder="1" applyAlignment="1">
      <alignment horizontal="center"/>
    </xf>
    <xf numFmtId="0" fontId="0" fillId="61" borderId="1" xfId="0" applyFill="1" applyBorder="1" applyAlignment="1">
      <alignment horizontal="center"/>
    </xf>
    <xf numFmtId="0" fontId="37" fillId="48" borderId="0" xfId="1" applyBorder="1" applyAlignment="1">
      <alignment horizontal="center"/>
    </xf>
    <xf numFmtId="0" fontId="25" fillId="44" borderId="1" xfId="83"/>
    <xf numFmtId="0" fontId="33" fillId="71" borderId="1" xfId="0" applyFont="1" applyFill="1" applyBorder="1"/>
    <xf numFmtId="0" fontId="21" fillId="0" borderId="0" xfId="0" applyFont="1" applyFill="1" applyBorder="1"/>
    <xf numFmtId="0" fontId="3" fillId="4" borderId="1" xfId="79"/>
    <xf numFmtId="0" fontId="3" fillId="74" borderId="0" xfId="58" applyFill="1" applyBorder="1" applyAlignment="1">
      <alignment horizontal="center"/>
    </xf>
    <xf numFmtId="0" fontId="3" fillId="73" borderId="5" xfId="58" applyFill="1" applyBorder="1" applyAlignment="1">
      <alignment horizontal="center"/>
    </xf>
    <xf numFmtId="0" fontId="3" fillId="73" borderId="16" xfId="58" applyFill="1" applyBorder="1" applyAlignment="1">
      <alignment horizontal="center"/>
    </xf>
    <xf numFmtId="0" fontId="3" fillId="73" borderId="6" xfId="58" applyFill="1" applyBorder="1" applyAlignment="1">
      <alignment horizontal="center"/>
    </xf>
    <xf numFmtId="0" fontId="3" fillId="2" borderId="1" xfId="84"/>
    <xf numFmtId="0" fontId="21" fillId="3" borderId="1" xfId="85"/>
    <xf numFmtId="0" fontId="33" fillId="54" borderId="1" xfId="69"/>
    <xf numFmtId="0" fontId="21" fillId="5" borderId="1" xfId="3"/>
    <xf numFmtId="0" fontId="21" fillId="61" borderId="1" xfId="2"/>
    <xf numFmtId="0" fontId="3" fillId="57" borderId="1" xfId="74" applyAlignment="1">
      <protection locked="0"/>
    </xf>
    <xf numFmtId="0" fontId="21" fillId="41" borderId="1" xfId="75">
      <protection locked="0"/>
    </xf>
    <xf numFmtId="0" fontId="21" fillId="42" borderId="1" xfId="76">
      <protection locked="0"/>
    </xf>
    <xf numFmtId="0" fontId="26" fillId="40" borderId="1" xfId="80"/>
    <xf numFmtId="0" fontId="21" fillId="65" borderId="1" xfId="5"/>
    <xf numFmtId="0" fontId="39" fillId="60" borderId="1" xfId="54" applyAlignment="1"/>
    <xf numFmtId="168" fontId="3" fillId="57" borderId="1" xfId="73" applyAlignment="1">
      <protection locked="0"/>
    </xf>
    <xf numFmtId="0" fontId="35" fillId="38" borderId="1" xfId="64"/>
    <xf numFmtId="0" fontId="24" fillId="56" borderId="1" xfId="65"/>
    <xf numFmtId="168" fontId="3" fillId="75" borderId="1" xfId="73" applyFill="1" applyAlignment="1">
      <protection locked="0"/>
    </xf>
    <xf numFmtId="0" fontId="3" fillId="75" borderId="1" xfId="0" applyNumberFormat="1" applyFont="1" applyFill="1" applyBorder="1" applyAlignment="1">
      <alignment horizontal="left"/>
    </xf>
    <xf numFmtId="0" fontId="3" fillId="75" borderId="1" xfId="74" applyFill="1" applyAlignment="1">
      <protection locked="0"/>
    </xf>
    <xf numFmtId="0" fontId="43" fillId="76" borderId="1" xfId="80" applyFont="1" applyFill="1"/>
    <xf numFmtId="0" fontId="21" fillId="78" borderId="1" xfId="0" applyFont="1" applyFill="1" applyBorder="1"/>
    <xf numFmtId="0" fontId="21" fillId="78" borderId="1" xfId="75" applyFill="1">
      <protection locked="0"/>
    </xf>
    <xf numFmtId="0" fontId="21" fillId="69" borderId="1" xfId="0" applyNumberFormat="1" applyFont="1" applyFill="1" applyBorder="1" applyProtection="1">
      <protection locked="0"/>
    </xf>
    <xf numFmtId="0" fontId="21" fillId="69" borderId="1" xfId="76" applyFill="1">
      <protection locked="0"/>
    </xf>
    <xf numFmtId="0" fontId="42" fillId="48" borderId="1" xfId="87">
      <alignment horizontal="center" vertical="center"/>
    </xf>
    <xf numFmtId="0" fontId="42" fillId="48" borderId="2" xfId="87" applyBorder="1" applyAlignment="1">
      <alignment horizontal="center" vertical="center"/>
    </xf>
    <xf numFmtId="0" fontId="42" fillId="48" borderId="3" xfId="87" applyBorder="1" applyAlignment="1">
      <alignment horizontal="center" vertical="center"/>
    </xf>
    <xf numFmtId="0" fontId="42" fillId="48" borderId="4" xfId="87" applyBorder="1" applyAlignment="1">
      <alignment horizontal="center" vertical="center"/>
    </xf>
    <xf numFmtId="0" fontId="37" fillId="48" borderId="2" xfId="1" applyBorder="1" applyAlignment="1">
      <alignment horizontal="center" vertical="center"/>
    </xf>
    <xf numFmtId="0" fontId="37" fillId="48" borderId="3" xfId="1" applyBorder="1" applyAlignment="1">
      <alignment horizontal="center" vertical="center"/>
    </xf>
    <xf numFmtId="0" fontId="37" fillId="48" borderId="4" xfId="1" applyBorder="1" applyAlignment="1">
      <alignment horizontal="center" vertical="center"/>
    </xf>
    <xf numFmtId="0" fontId="37" fillId="48" borderId="2" xfId="1" applyBorder="1" applyAlignment="1">
      <alignment horizontal="center"/>
    </xf>
    <xf numFmtId="0" fontId="37" fillId="48" borderId="4" xfId="1" applyBorder="1" applyAlignment="1">
      <alignment horizontal="center"/>
    </xf>
    <xf numFmtId="0" fontId="0" fillId="0" borderId="18" xfId="0" applyBorder="1"/>
    <xf numFmtId="0" fontId="3" fillId="0" borderId="18" xfId="58" applyFill="1" applyBorder="1" applyAlignment="1">
      <alignment horizontal="left"/>
    </xf>
    <xf numFmtId="0" fontId="3" fillId="0" borderId="18" xfId="58" applyFill="1" applyBorder="1"/>
    <xf numFmtId="0" fontId="37" fillId="48" borderId="6" xfId="1" applyNumberFormat="1" applyBorder="1" applyAlignment="1">
      <alignment horizontal="left" vertical="center"/>
    </xf>
    <xf numFmtId="0" fontId="37" fillId="48" borderId="6" xfId="1" applyBorder="1" applyAlignment="1">
      <alignment horizontal="left" vertical="center"/>
    </xf>
    <xf numFmtId="0" fontId="36" fillId="58" borderId="17" xfId="0" applyFont="1" applyFill="1" applyBorder="1"/>
    <xf numFmtId="0" fontId="36" fillId="58" borderId="17" xfId="66" applyBorder="1"/>
    <xf numFmtId="0" fontId="43" fillId="77" borderId="6" xfId="0" applyFont="1" applyFill="1" applyBorder="1"/>
    <xf numFmtId="0" fontId="43" fillId="77" borderId="6" xfId="81" applyFont="1" applyFill="1" applyBorder="1"/>
    <xf numFmtId="0" fontId="34" fillId="79" borderId="17" xfId="68" applyFont="1" applyFill="1" applyBorder="1">
      <protection locked="0"/>
    </xf>
    <xf numFmtId="0" fontId="26" fillId="39" borderId="6" xfId="0" applyFont="1" applyFill="1" applyBorder="1"/>
    <xf numFmtId="0" fontId="26" fillId="39" borderId="6" xfId="81" applyBorder="1"/>
    <xf numFmtId="0" fontId="32" fillId="53" borderId="17" xfId="67" applyBorder="1"/>
    <xf numFmtId="0" fontId="27" fillId="45" borderId="6" xfId="77" applyBorder="1"/>
    <xf numFmtId="0" fontId="44" fillId="72" borderId="17" xfId="68" applyBorder="1">
      <protection locked="0"/>
    </xf>
    <xf numFmtId="0" fontId="25" fillId="43" borderId="6" xfId="0" applyFont="1" applyFill="1" applyBorder="1"/>
    <xf numFmtId="0" fontId="25" fillId="43" borderId="6" xfId="82" applyBorder="1"/>
    <xf numFmtId="0" fontId="31" fillId="47" borderId="17" xfId="57" applyBorder="1"/>
    <xf numFmtId="0" fontId="24" fillId="81" borderId="6" xfId="63" applyFill="1" applyBorder="1"/>
    <xf numFmtId="0" fontId="24" fillId="81" borderId="6" xfId="0" applyFont="1" applyFill="1" applyBorder="1"/>
    <xf numFmtId="0" fontId="38" fillId="49" borderId="1" xfId="56" applyBorder="1" applyAlignment="1">
      <alignment horizontal="left" vertical="center"/>
    </xf>
    <xf numFmtId="0" fontId="0" fillId="0" borderId="19" xfId="0" applyBorder="1"/>
    <xf numFmtId="0" fontId="3" fillId="0" borderId="19" xfId="58" applyFill="1" applyBorder="1" applyAlignment="1">
      <alignment horizontal="left"/>
    </xf>
    <xf numFmtId="0" fontId="3" fillId="0" borderId="19" xfId="58" applyFill="1" applyBorder="1"/>
    <xf numFmtId="0" fontId="0" fillId="0" borderId="20" xfId="0" applyBorder="1"/>
    <xf numFmtId="0" fontId="3" fillId="0" borderId="20" xfId="58" applyNumberFormat="1" applyFill="1" applyBorder="1" applyAlignment="1">
      <alignment horizontal="left"/>
    </xf>
    <xf numFmtId="0" fontId="3" fillId="0" borderId="20" xfId="58" applyFill="1" applyBorder="1" applyAlignment="1">
      <alignment horizontal="left"/>
    </xf>
    <xf numFmtId="0" fontId="3" fillId="0" borderId="20" xfId="58" applyFill="1" applyBorder="1"/>
    <xf numFmtId="0" fontId="45" fillId="82" borderId="17" xfId="56" applyFont="1" applyFill="1" applyBorder="1" applyAlignment="1">
      <alignment horizontal="left" vertical="center"/>
    </xf>
    <xf numFmtId="0" fontId="30" fillId="83" borderId="6" xfId="70" applyFill="1" applyBorder="1"/>
    <xf numFmtId="0" fontId="40" fillId="63" borderId="1" xfId="61" applyFont="1"/>
    <xf numFmtId="0" fontId="29" fillId="64" borderId="1" xfId="62" applyFont="1"/>
    <xf numFmtId="0" fontId="29" fillId="80" borderId="17" xfId="62" applyNumberFormat="1" applyFont="1" applyFill="1" applyBorder="1"/>
    <xf numFmtId="0" fontId="29" fillId="80" borderId="17" xfId="62" applyFont="1" applyFill="1" applyBorder="1"/>
    <xf numFmtId="0" fontId="46" fillId="84" borderId="1" xfId="59" applyFont="1"/>
    <xf numFmtId="0" fontId="46" fillId="38" borderId="1" xfId="60" applyFont="1"/>
    <xf numFmtId="0" fontId="1" fillId="0" borderId="0" xfId="0" applyFont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</cellXfs>
  <cellStyles count="88">
    <cellStyle name="20% - Accent1" xfId="31" builtinId="30" hidden="1"/>
    <cellStyle name="20% - Accent2" xfId="35" builtinId="34" hidden="1"/>
    <cellStyle name="20% - Accent3" xfId="39" builtinId="38" hidden="1"/>
    <cellStyle name="20% - Accent4" xfId="43" builtinId="42" hidden="1"/>
    <cellStyle name="20% - Accent5" xfId="47" builtinId="46" hidden="1"/>
    <cellStyle name="20% - Accent6" xfId="51" builtinId="50" hidden="1"/>
    <cellStyle name="40% - Accent1" xfId="32" builtinId="31" hidden="1"/>
    <cellStyle name="40% - Accent2" xfId="36" builtinId="35" hidden="1"/>
    <cellStyle name="40% - Accent3" xfId="40" builtinId="39" hidden="1"/>
    <cellStyle name="40% - Accent4" xfId="44" builtinId="43" hidden="1"/>
    <cellStyle name="40% - Accent5" xfId="48" builtinId="47" hidden="1"/>
    <cellStyle name="40% - Accent6" xfId="52" builtinId="51" hidden="1"/>
    <cellStyle name="60% - Accent1" xfId="33" builtinId="32" hidden="1"/>
    <cellStyle name="60% - Accent2" xfId="37" builtinId="36" hidden="1"/>
    <cellStyle name="60% - Accent3" xfId="41" builtinId="40" hidden="1"/>
    <cellStyle name="60% - Accent4" xfId="45" builtinId="44" hidden="1"/>
    <cellStyle name="60% - Accent5" xfId="49" builtinId="48" hidden="1"/>
    <cellStyle name="60% - Accent6" xfId="53" builtinId="52" hidden="1"/>
    <cellStyle name="Accent1" xfId="30" builtinId="29" hidden="1"/>
    <cellStyle name="Accent2" xfId="34" builtinId="33" hidden="1"/>
    <cellStyle name="Accent3" xfId="38" builtinId="37" hidden="1"/>
    <cellStyle name="Accent4" xfId="42" builtinId="41" hidden="1"/>
    <cellStyle name="Accent5" xfId="46" builtinId="45" hidden="1"/>
    <cellStyle name="Accent6" xfId="50" builtinId="49" hidden="1"/>
    <cellStyle name="ActDeac" xfId="66" xr:uid="{D038C2BF-4095-4EE6-85D8-C342DC4FEFAB}"/>
    <cellStyle name="ActError" xfId="67" xr:uid="{A55466A5-83D1-4F42-98B8-6C00FC8174CE}"/>
    <cellStyle name="ActGood" xfId="57" xr:uid="{D5500846-3D86-40D6-83BB-18E39AB5993C}"/>
    <cellStyle name="ActMiss" xfId="68" xr:uid="{D562F1AB-9C35-4028-81BD-AA758FBB7997}"/>
    <cellStyle name="ActNote" xfId="69" xr:uid="{35E91A08-EFF4-439F-933D-9672A677D795}"/>
    <cellStyle name="Bad" xfId="19" builtinId="27" hidden="1"/>
    <cellStyle name="BoxCell" xfId="56" xr:uid="{D43808C8-F038-4490-8CE9-0480AA97F3F5}"/>
    <cellStyle name="BoxHead" xfId="1" xr:uid="{8F79BBCC-ABBB-4F60-8241-82066CA74206}"/>
    <cellStyle name="BoxTitle" xfId="87" xr:uid="{C03B03E9-55E8-481E-8D48-0E35A958BF9B}"/>
    <cellStyle name="BoxVal" xfId="54" xr:uid="{CEE0F8CE-401B-46BF-9E3E-F189865932A5}"/>
    <cellStyle name="CalcCell" xfId="62" xr:uid="{84DB12A5-ACCF-4F34-8EBD-84BF59EE92A2}"/>
    <cellStyle name="CalcHd" xfId="60" xr:uid="{A485577F-49FD-400C-A80A-0E3CFDBD45B7}"/>
    <cellStyle name="CalcHdKey" xfId="59" xr:uid="{43779D02-4249-4C45-B4D4-E713866672A7}"/>
    <cellStyle name="Calculation" xfId="23" builtinId="22" hidden="1"/>
    <cellStyle name="CalcVal" xfId="61" xr:uid="{05A05623-4D0E-414D-9E79-D61CAA3757A2}"/>
    <cellStyle name="Check Cell" xfId="25" builtinId="23" hidden="1"/>
    <cellStyle name="Comma" xfId="8" builtinId="3" hidden="1"/>
    <cellStyle name="Comma [0]" xfId="9" builtinId="6" hidden="1"/>
    <cellStyle name="Currency" xfId="10" builtinId="4" hidden="1"/>
    <cellStyle name="Currency [0]" xfId="11" builtinId="7" hidden="1"/>
    <cellStyle name="DeacCell" xfId="65" xr:uid="{EE8C3931-509A-454B-8DDB-3DB165F936E4}"/>
    <cellStyle name="DeacHd" xfId="64" xr:uid="{D1DB8CD8-A38C-4B76-8336-C72AB6F573DE}"/>
    <cellStyle name="DeacHdKey" xfId="63" xr:uid="{C853B429-AC3D-4EA6-BAE4-C7E60A432D45}"/>
    <cellStyle name="ErrCell" xfId="4" xr:uid="{680DCF67-CA92-4F4B-8884-393929A5F5CF}"/>
    <cellStyle name="ErrHd" xfId="71" xr:uid="{23887379-1C10-4A57-A891-5F3813EA025B}"/>
    <cellStyle name="ErrHdKey" xfId="70" xr:uid="{4CE673CE-5C2A-4FC4-8689-EB33AB3F4A6C}"/>
    <cellStyle name="ErrKey" xfId="5" xr:uid="{0D09F370-4EC7-4970-B810-A1B2EE32E259}"/>
    <cellStyle name="ErrVal" xfId="72" xr:uid="{8D32772B-D1F6-4270-83F5-C72E77605A83}"/>
    <cellStyle name="Explanatory Text" xfId="28" builtinId="53" hidden="1"/>
    <cellStyle name="Followed Hyperlink" xfId="55" builtinId="9" customBuiltin="1"/>
    <cellStyle name="Good" xfId="18" builtinId="26" hidden="1"/>
    <cellStyle name="Heading 1" xfId="14" builtinId="16" hidden="1"/>
    <cellStyle name="Heading 2" xfId="15" builtinId="17" hidden="1"/>
    <cellStyle name="Heading 3" xfId="16" builtinId="18" hidden="1"/>
    <cellStyle name="Heading 4" xfId="17" builtinId="19" hidden="1"/>
    <cellStyle name="Hyperlink" xfId="7" builtinId="8" customBuiltin="1"/>
    <cellStyle name="InpCell" xfId="76" xr:uid="{034B211C-FDE8-4A03-BAF4-D9C3E831F167}"/>
    <cellStyle name="InpDate" xfId="73" xr:uid="{40E78F5C-24AB-47E8-83CF-64F4588F153B}"/>
    <cellStyle name="InpHd" xfId="80" xr:uid="{A8EAE62D-4BB5-4C9C-B9FA-BE61C3AEE3E6}"/>
    <cellStyle name="InpHdKey" xfId="81" xr:uid="{0DF1FC8C-341F-45FF-87B8-8B75702B17F7}"/>
    <cellStyle name="InpKey" xfId="75" xr:uid="{2BCE6C2C-BA3A-426F-848C-40590D149CBC}"/>
    <cellStyle name="Input" xfId="21" builtinId="20" hidden="1"/>
    <cellStyle name="InpVal" xfId="74" xr:uid="{FFC100B2-B15A-444B-AAB6-ACEE9EDBF274}"/>
    <cellStyle name="IntCell" xfId="86" xr:uid="{B8FC2939-D6D2-4927-B732-3CC7ED608316}"/>
    <cellStyle name="IntHd" xfId="83" xr:uid="{D39DE552-A597-4800-BE5C-48D9A8390B5A}"/>
    <cellStyle name="IntHdKey" xfId="82" xr:uid="{050A2708-B11F-478A-AC39-C14E6B52CC99}"/>
    <cellStyle name="IntKey" xfId="85" xr:uid="{A7D192B5-F756-4622-A3C2-798FAA48B166}"/>
    <cellStyle name="IntVal" xfId="84" xr:uid="{D7E5F61F-E3EE-4630-974F-E557328A7735}"/>
    <cellStyle name="Linked Cell" xfId="24" builtinId="24" hidden="1"/>
    <cellStyle name="Neutral" xfId="20" builtinId="28" hidden="1"/>
    <cellStyle name="Normal" xfId="0" builtinId="0" customBuiltin="1"/>
    <cellStyle name="Note" xfId="27" builtinId="10" hidden="1"/>
    <cellStyle name="Output" xfId="22" builtinId="21" hidden="1"/>
    <cellStyle name="Percent" xfId="12" builtinId="5" hidden="1"/>
    <cellStyle name="QueCell" xfId="2" xr:uid="{00FA0E66-DDDB-4D59-906A-319C50F3696D}"/>
    <cellStyle name="QueHd" xfId="78" xr:uid="{ECEFA2E3-BF01-4080-9383-75E9B41E90CC}"/>
    <cellStyle name="QueHdKey" xfId="77" xr:uid="{403C17D7-8DB7-4FA2-AC90-FF2D295A3724}"/>
    <cellStyle name="QueKey" xfId="3" xr:uid="{DC1E60CB-A59F-4C02-BFF9-B0EB3CD2AAE5}"/>
    <cellStyle name="QueVal" xfId="79" xr:uid="{AD5D37FC-7491-4EF2-B723-96C7E5EBD16C}"/>
    <cellStyle name="Title" xfId="13" builtinId="15" hidden="1"/>
    <cellStyle name="Total" xfId="29" builtinId="25" hidden="1"/>
    <cellStyle name="Warning Text" xfId="26" builtinId="11" hidden="1"/>
    <cellStyle name="xCond" xfId="6" xr:uid="{1EBEEB1F-2D52-4967-A6BA-433C81E5818A}"/>
    <cellStyle name="xMono" xfId="58" xr:uid="{9E5F097F-D5C9-4CB8-BD12-CC4B6DCF8D5B}"/>
  </cellStyles>
  <dxfs count="74"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ill>
        <patternFill patternType="darkDown">
          <fgColor theme="7" tint="-0.24994659260841701"/>
          <bgColor theme="7"/>
        </patternFill>
      </fill>
    </dxf>
    <dxf>
      <font>
        <color theme="0" tint="-0.499984740745262"/>
      </font>
      <fill>
        <patternFill>
          <bgColor rgb="FF595959"/>
        </patternFill>
      </fill>
    </dxf>
    <dxf>
      <font>
        <color rgb="FFA6A6A6"/>
      </font>
      <fill>
        <patternFill>
          <bgColor rgb="FF80808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Bahnschrift"/>
        <family val="2"/>
        <scheme val="major"/>
      </font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5" tint="0.79998168889431442"/>
      </font>
      <fill>
        <patternFill>
          <bgColor theme="7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59996337778862885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6" defaultTableStyle="Input Table" defaultPivotStyle="PivotStyleLight16">
    <tableStyle name="Box Table" pivot="0" count="2" xr9:uid="{43492D81-139C-4801-B77F-EB1AE67A0441}">
      <tableStyleElement type="wholeTable" dxfId="73"/>
      <tableStyleElement type="headerRow" dxfId="72"/>
    </tableStyle>
    <tableStyle name="CalcSlicer" pivot="0" table="0" count="10" xr9:uid="{9002A90B-8162-4C0D-AC0E-75A79C394F31}">
      <tableStyleElement type="wholeTable" dxfId="71"/>
      <tableStyleElement type="headerRow" dxfId="70"/>
    </tableStyle>
    <tableStyle name="Input Table" pivot="0" count="9" xr9:uid="{36743DE1-D665-4C00-AC30-E26EBCC4EB5F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firstHeaderCell" dxfId="64"/>
      <tableStyleElement type="lastHeaderCell" dxfId="63"/>
      <tableStyleElement type="firstTotalCell" dxfId="62"/>
      <tableStyleElement type="lastTotalCell" dxfId="61"/>
    </tableStyle>
    <tableStyle name="Internal Table" pivot="0" count="9" xr9:uid="{6569D68B-D61A-4EB6-98F4-826733CFF175}">
      <tableStyleElement type="wholeTable" dxfId="60"/>
      <tableStyleElement type="headerRow" dxfId="59"/>
      <tableStyleElement type="totalRow" dxfId="58"/>
      <tableStyleElement type="firstColumn" dxfId="57"/>
      <tableStyleElement type="lastColumn" dxfId="56"/>
      <tableStyleElement type="firstHeaderCell" dxfId="55"/>
      <tableStyleElement type="lastHeaderCell" dxfId="54"/>
      <tableStyleElement type="firstTotalCell" dxfId="53"/>
      <tableStyleElement type="lastTotalCell" dxfId="52"/>
    </tableStyle>
    <tableStyle name="Invisible" pivot="0" table="0" count="0" xr9:uid="{3D367CA6-57D5-4BB4-9B5F-B5ACC42505FF}"/>
    <tableStyle name="Lookup Table" pivot="0" count="9" xr9:uid="{92DC973F-2E49-44AB-8564-A6325BEF3F08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HeaderCell" dxfId="46"/>
      <tableStyleElement type="lastHeaderCell" dxfId="45"/>
      <tableStyleElement type="firstTotalCell" dxfId="44"/>
      <tableStyleElement type="lastTotalCell" dxfId="43"/>
    </tableStyle>
  </tableStyles>
  <colors>
    <mruColors>
      <color rgb="FF9FF9F7"/>
      <color rgb="FF00CCFF"/>
      <color rgb="FF3366FF"/>
      <color rgb="FF279AF9"/>
      <color rgb="FFFF5050"/>
      <color rgb="FF954F72"/>
      <color rgb="FFFFFFFF"/>
      <color rgb="FFFFC441"/>
      <color rgb="FFE8B100"/>
      <color rgb="FFE8900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9" tint="-0.24994659260841701"/>
            </patternFill>
          </fill>
        </dxf>
        <dxf>
          <fill>
            <patternFill>
              <bgColor rgb="FFC43636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EEB0B0"/>
            </patternFill>
          </fill>
        </dxf>
        <dxf>
          <font>
            <color theme="0"/>
          </font>
          <fill>
            <patternFill>
              <bgColor theme="9" tint="-0.499984740745262"/>
            </patternFill>
          </fill>
        </dxf>
        <dxf>
          <fill>
            <patternFill>
              <bgColor theme="9" tint="0.39994506668294322"/>
            </patternFill>
          </fill>
        </dxf>
        <dxf>
          <font>
            <color theme="0"/>
          </font>
          <fill>
            <patternFill>
              <bgColor rgb="FFA71D1D"/>
            </patternFill>
          </fill>
        </dxf>
        <dxf>
          <fill>
            <patternFill>
              <bgColor rgb="FFDB6F6F"/>
            </patternFill>
          </fill>
        </dxf>
      </x14:dxfs>
    </ext>
    <ext xmlns:x14="http://schemas.microsoft.com/office/spreadsheetml/2009/9/main" uri="{EB79DEF2-80B8-43e5-95BD-54CBDDF9020C}">
      <x14:slicerStyles defaultSlicerStyle="CalcSlicer">
        <x14:slicerStyle name="Calc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99BFF0-94C2-484A-AB58-67F55C4B6E60}" name="KeyTable" displayName="KeyTable" ref="A2:L47" headerRowDxfId="42" tableBorderDxfId="41">
  <autoFilter ref="A2:L47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D510F896-ED24-48B1-853C-CE27DC687EBA}" name="Cell Name" totalsRowLabel="Total" dataDxfId="40"/>
    <tableColumn id="10" xr3:uid="{5E8012AC-447F-444E-AD4B-09AE17414B90}" name="StyleName"/>
    <tableColumn id="2" xr3:uid="{0182BED1-E3D2-4DEB-953E-8E38866A31B4}" name="Where Used" totalsRowDxfId="39"/>
    <tableColumn id="3" xr3:uid="{082CA2D3-D449-4334-ABBC-3004106AE17C}" name="Typing Notes" totalsRowDxfId="38"/>
    <tableColumn id="4" xr3:uid="{92100948-EB97-4C9C-AE01-5AAF25B33FF0}" name="Warnings" totalsRowDxfId="37"/>
    <tableColumn id="8" xr3:uid="{FE911691-39D8-4FCA-87BD-860F1AF985E7}" name="Fmt Notes" totalsRowFunction="count" totalsRowDxfId="36"/>
    <tableColumn id="9" xr3:uid="{CE3315A9-50D7-48B0-AF31-C9CD9A22FA82}" name="Font" totalsRowDxfId="35"/>
    <tableColumn id="12" xr3:uid="{F33D9058-7652-46A9-83FF-937FD98075EC}" name="Fnt" dataDxfId="0" totalsRowDxfId="3"/>
    <tableColumn id="11" xr3:uid="{9CA039C6-4B5F-4214-A28C-63D46BAC99BE}" name="Base" dataDxfId="1" totalsRowDxfId="34"/>
    <tableColumn id="5" xr3:uid="{1A92A71A-B8D8-4E67-AA62-A7FBCC1FE379}" name="BgColor" dataDxfId="2" totalsRowDxfId="33" dataCellStyle="xMono">
      <calculatedColumnFormula array="1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calculatedColumnFormula>
    </tableColumn>
    <tableColumn id="6" xr3:uid="{EFD2E2AD-E61D-4C56-840F-FE3C98D90394}" name="TxColor" dataDxfId="32" totalsRowDxfId="31" dataCellStyle="xMono"/>
    <tableColumn id="7" xr3:uid="{C684879A-C650-41BE-98B2-794B0C7F0BDB}" name="PtColor" totalsRowDxfId="30" dataCellStyle="xMono"/>
  </tableColumns>
  <tableStyleInfo name="Internal 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AF99A-5C5A-4C49-8B67-19EC666055E1}" name="InputSampleTable" displayName="InputSampleTable" ref="B55:D58" totalsRowCount="1">
  <autoFilter ref="B55:D57" xr:uid="{4D71DE13-6D72-4E75-99ED-03EF4574DBE0}">
    <filterColumn colId="0" hiddenButton="1"/>
    <filterColumn colId="1" hiddenButton="1"/>
    <filterColumn colId="2" hiddenButton="1"/>
  </autoFilter>
  <tableColumns count="3">
    <tableColumn id="1" xr3:uid="{6929291C-2881-413E-9105-4A5C26E746EB}" name="InputKey1" totalsRowLabel="Total:"/>
    <tableColumn id="2" xr3:uid="{DCE6931E-FD68-454D-B8F5-598B8C5204E0}" name="InputColumn2"/>
    <tableColumn id="3" xr3:uid="{25890384-CE26-44FC-950D-70BA221CC229}" name="CalcColumn3" totalsRowFunction="custom">
      <calculatedColumnFormula>RIGHT(InputSampleTable[[#This Row],[InputColumn2]],5)</calculatedColumnFormula>
      <totalsRowFormula>COUNTIF(InputSampleTable[CalcColumn3], "Value") &amp; " Value in Column"</totalsRowFormula>
    </tableColumn>
  </tableColumns>
  <tableStyleInfo name="Input Table" showFirstColumn="1" showLastColumn="1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C97076-8C41-41DD-B6E8-40844F013C07}" name="IntSampleTable" displayName="IntSampleTable" ref="B60:D63" totalsRowCount="1">
  <autoFilter ref="B60:D62" xr:uid="{1BFF309A-77A8-4272-AEEA-F08BEEB1875B}">
    <filterColumn colId="0" hiddenButton="1"/>
    <filterColumn colId="1" hiddenButton="1"/>
    <filterColumn colId="2" hiddenButton="1"/>
  </autoFilter>
  <tableColumns count="3">
    <tableColumn id="1" xr3:uid="{444ADC8E-D844-45D8-8E5F-28D8AB8FBFC1}" name="Key1" totalsRowLabel="Total:"/>
    <tableColumn id="2" xr3:uid="{CE6E61AD-C219-4CF9-ADB5-C5B0EB527422}" name="Internal2" totalsRowFunction="custom">
      <totalsRowFormula>COUNTIF(IntSampleTable[Internal2],"")    &amp;     " Blank Cells"</totalsRowFormula>
    </tableColumn>
    <tableColumn id="3" xr3:uid="{7DB48570-446A-440E-A32C-08BEF00880AA}" name="CalcColumn3" totalsRowFunction="custom">
      <calculatedColumnFormula>1 /  VALUE(LEFT($C$63,1))</calculatedColumnFormula>
      <totalsRowFormula>"Total: "&amp; SUBTOTAL(109,IntSampleTable[CalcColumn3])*100 &amp;"%"</totalsRowFormula>
    </tableColumn>
  </tableColumns>
  <tableStyleInfo name="Internal Table" showFirstColumn="1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0B33DA-0297-4934-AB13-4F6F095962B1}" name="QuerySampleTable" displayName="QuerySampleTable" ref="B65:D68" totalsRowCount="1">
  <autoFilter ref="B65:D67" xr:uid="{7CA7B0D7-9730-4021-8CB8-B882AF6B5EE6}">
    <filterColumn colId="0" hiddenButton="1"/>
    <filterColumn colId="1" hiddenButton="1"/>
    <filterColumn colId="2" hiddenButton="1"/>
  </autoFilter>
  <tableColumns count="3">
    <tableColumn id="1" xr3:uid="{36E0DAC5-35AB-4939-8E30-1FAA54B8D9B5}" name="QueryKey1" totalsRowLabel="Total:"/>
    <tableColumn id="2" xr3:uid="{1EDC4209-A19C-4FDE-BCBA-F9D39C49A29F}" name="QueryColumn2" totalsRowFunction="custom">
      <totalsRowFormula>COUNTIF(QuerySampleTable[QueryColumn2],"* Error")&amp;" Error in Col"</totalsRowFormula>
    </tableColumn>
    <tableColumn id="3" xr3:uid="{6833AC55-BA92-456D-9D30-F590053D38BD}" name="CalcColumn3" totalsRowFunction="custom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Lookup Table" showFirstColumn="1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FA6708-DAD0-4FA7-80AC-A52A500DC7EB}" name="ConitionalTable" displayName="ConitionalTable" ref="N2:Q21">
  <autoFilter ref="N2:Q21" xr:uid="{642F6C8F-551C-4E5A-AD5B-F73C24E1469D}">
    <filterColumn colId="0" hiddenButton="1"/>
    <filterColumn colId="1" hiddenButton="1"/>
    <filterColumn colId="2" hiddenButton="1"/>
    <filterColumn colId="3" hiddenButton="1"/>
  </autoFilter>
  <tableColumns count="4">
    <tableColumn id="1" xr3:uid="{AD53F254-937D-4E59-9EC8-9BA08B55468C}" name="Column1" totalsRowLabel="Total"/>
    <tableColumn id="2" xr3:uid="{50F28E94-A170-4EBE-89EB-DE73BAF5AA6B}" name="Column2"/>
    <tableColumn id="3" xr3:uid="{B3F0FC40-1E26-49A0-BD3E-7F34A2F8FA9F}" name="Column3"/>
    <tableColumn id="4" xr3:uid="{D70CA315-13CD-480A-B0E2-CA0DDF21B183}" name="Result" totalsRowFunction="count" dataDxfId="29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Input Table" showFirstColumn="0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806EB-F138-40B7-A168-CD70A9AFE6C6}" name="SampleOptionTable" displayName="SampleOptionTable" ref="S16:S17" totalsRowShown="0" tableBorderDxfId="28" headerRowCellStyle="BoxHead">
  <autoFilter ref="S16:S17" xr:uid="{93D29540-6F26-47B2-9535-0150D72DF45E}">
    <filterColumn colId="0" hiddenButton="1"/>
  </autoFilter>
  <tableColumns count="1">
    <tableColumn id="1" xr3:uid="{48385E94-6978-4DD0-A513-9A4C9FD1FE48}" name="UseCol3"/>
  </tableColumns>
  <tableStyleInfo name="Input Table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B7B988-311A-426B-9A82-BC227462BC68}" name="BoolTable" displayName="BoolTable" ref="A1:A3" totalsRowShown="0" headerRowDxfId="27" tableBorderDxfId="26" headerRowCellStyle="BoxHead">
  <autoFilter ref="A1:A3" xr:uid="{C449DE06-2E9F-4A19-BFB1-7D18A499D65F}">
    <filterColumn colId="0" hiddenButton="1"/>
  </autoFilter>
  <tableColumns count="1">
    <tableColumn id="1" xr3:uid="{1016B090-ECD0-454A-9893-3BB93473AC65}" name="Bool"/>
  </tableColumns>
  <tableStyleInfo name="Internal Table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0C5147-E8A2-4264-9F0C-873C2FCA345E}" name="BoolValueTable" displayName="BoolValueTable" ref="D2:E3" totalsRowShown="0" headerRowDxfId="25" dataDxfId="24">
  <autoFilter ref="D2:E3" xr:uid="{68122C0F-5432-4C4D-8F36-76739CD672D5}">
    <filterColumn colId="0" hiddenButton="1"/>
    <filterColumn colId="1" hiddenButton="1"/>
  </autoFilter>
  <tableColumns count="2">
    <tableColumn id="1" xr3:uid="{945071BE-4AE7-487A-8CD3-960F0AA7C207}" name="Y" dataDxfId="23">
      <calculatedColumnFormula array="1">OFFSET( BoolName, 0, 0, 1, 1)</calculatedColumnFormula>
    </tableColumn>
    <tableColumn id="3" xr3:uid="{D9396BD0-7182-4272-B658-16AB566D3C90}" name="N" dataDxfId="22">
      <calculatedColumnFormula array="1">OFFSET( BoolName, 1, 0, 1, 1)</calculatedColumnFormula>
    </tableColumn>
  </tableColumns>
  <tableStyleInfo name="Internal Table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D605BD-8C23-4964-A9FD-6FA840DCC610}" name="LNFTable" displayName="LNFTable" ref="A5:A6" totalsRowShown="0" headerRowDxfId="21" dataDxfId="20" tableBorderDxfId="19" headerRowCellStyle="BoxHead">
  <autoFilter ref="A5:A6" xr:uid="{3A5E5831-125B-4C13-A27A-6EB2E9241CC5}">
    <filterColumn colId="0" hiddenButton="1"/>
  </autoFilter>
  <tableColumns count="1">
    <tableColumn id="1" xr3:uid="{CBA32D49-7780-4606-BA15-F538B9B77B45}" name="LNF" dataDxfId="18"/>
  </tableColumns>
  <tableStyleInfo name="Internal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DD7D26-B446-4460-BDAC-F9D2BD81C2B7}" name="YNTable" displayName="YNTable" ref="B1:B3" totalsRowShown="0" headerRowDxfId="17" dataDxfId="16" headerRowCellStyle="BoxHead">
  <autoFilter ref="B1:B3" xr:uid="{8C5ADB56-ADD8-4BCB-967D-E77AD4FBB3D7}">
    <filterColumn colId="0" hiddenButton="1"/>
  </autoFilter>
  <tableColumns count="1">
    <tableColumn id="1" xr3:uid="{DC165A05-C4EC-4C8D-907A-BBFD26103CCD}" name="YN" dataDxfId="15"/>
  </tableColumns>
  <tableStyleInfo name="Internal 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777F89-EEB6-45FC-B9FB-0EF36DD177F3}" name="YNValueTable" displayName="YNValueTable" ref="F2:G3" totalsRowShown="0" headerRowDxfId="14" dataDxfId="13">
  <autoFilter ref="F2:G3" xr:uid="{1612CA1B-C680-41AF-8587-9838D2A087AA}">
    <filterColumn colId="0" hiddenButton="1"/>
    <filterColumn colId="1" hiddenButton="1"/>
  </autoFilter>
  <tableColumns count="2">
    <tableColumn id="1" xr3:uid="{CB98C016-2266-4B22-AF67-3C578A917F08}" name="Y" dataDxfId="12">
      <calculatedColumnFormula>OFFSET( YNTable[], 0, 0, 1, 1)</calculatedColumnFormula>
    </tableColumn>
    <tableColumn id="2" xr3:uid="{419B8AAC-BC14-4AD0-B34F-B6336CBE67A5}" name="N" dataDxfId="11">
      <calculatedColumnFormula>OFFSET( YNTable[], 1, 0, 1, 1)</calculatedColumnFormula>
    </tableColumn>
  </tableColumns>
  <tableStyleInfo name="Internal Table" showFirstColumn="0" showLastColumn="0" showRowStripes="1" showColumnStripes="0"/>
</table>
</file>

<file path=xl/theme/theme1.xml><?xml version="1.0" encoding="utf-8"?>
<a:theme xmlns:a="http://schemas.openxmlformats.org/drawingml/2006/main" name="StyledWorkbook">
  <a:themeElements>
    <a:clrScheme name="New Style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 Condensed"/>
        <a:ea typeface=""/>
        <a:cs typeface="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7E3B-64C5-4E84-B62B-BBE2E7658BD2}">
  <sheetPr codeName="KeySheet">
    <tabColor rgb="FF00B050"/>
  </sheetPr>
  <dimension ref="A1:S68"/>
  <sheetViews>
    <sheetView tabSelected="1" zoomScaleNormal="100" workbookViewId="0">
      <selection activeCell="H5" sqref="H5"/>
    </sheetView>
  </sheetViews>
  <sheetFormatPr defaultRowHeight="13.6" x14ac:dyDescent="0.2"/>
  <cols>
    <col min="1" max="1" width="22" bestFit="1" customWidth="1"/>
    <col min="2" max="2" width="14.5546875" bestFit="1" customWidth="1"/>
    <col min="3" max="3" width="29" bestFit="1" customWidth="1"/>
    <col min="4" max="4" width="21.6640625" customWidth="1"/>
    <col min="5" max="5" width="39.77734375" style="2" bestFit="1" customWidth="1"/>
    <col min="6" max="6" width="17.109375" bestFit="1" customWidth="1"/>
    <col min="7" max="7" width="10.77734375" bestFit="1" customWidth="1"/>
    <col min="8" max="8" width="2.77734375" style="4" bestFit="1" customWidth="1"/>
    <col min="9" max="9" width="3.88671875" style="6" bestFit="1" customWidth="1"/>
    <col min="10" max="10" width="7.88671875" customWidth="1"/>
    <col min="11" max="12" width="7.88671875" bestFit="1" customWidth="1"/>
    <col min="13" max="14" width="8" bestFit="1" customWidth="1"/>
    <col min="15" max="15" width="9.33203125" bestFit="1" customWidth="1"/>
    <col min="16" max="16" width="8.33203125" bestFit="1" customWidth="1"/>
    <col min="17" max="17" width="6.44140625" bestFit="1" customWidth="1"/>
    <col min="18" max="18" width="9.109375" customWidth="1"/>
  </cols>
  <sheetData>
    <row r="1" spans="1:19" ht="20.399999999999999" x14ac:dyDescent="0.2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4"/>
      <c r="N1" s="71" t="s">
        <v>48</v>
      </c>
      <c r="O1" s="71"/>
      <c r="P1" s="71"/>
      <c r="Q1" s="71"/>
    </row>
    <row r="2" spans="1:19" x14ac:dyDescent="0.2">
      <c r="A2" s="9" t="s">
        <v>1</v>
      </c>
      <c r="B2" s="43" t="s">
        <v>144</v>
      </c>
      <c r="C2" t="s">
        <v>2</v>
      </c>
      <c r="D2" t="s">
        <v>3</v>
      </c>
      <c r="E2" t="s">
        <v>4</v>
      </c>
      <c r="F2" t="s">
        <v>56</v>
      </c>
      <c r="G2" t="s">
        <v>87</v>
      </c>
      <c r="H2" s="116" t="s">
        <v>199</v>
      </c>
      <c r="I2" s="12" t="s">
        <v>186</v>
      </c>
      <c r="J2" s="12" t="s">
        <v>5</v>
      </c>
      <c r="K2" s="12" t="s">
        <v>6</v>
      </c>
      <c r="L2" s="12" t="s">
        <v>7</v>
      </c>
      <c r="N2" t="s">
        <v>44</v>
      </c>
      <c r="O2" t="s">
        <v>46</v>
      </c>
      <c r="P2" t="s">
        <v>47</v>
      </c>
      <c r="Q2" t="s">
        <v>49</v>
      </c>
    </row>
    <row r="3" spans="1:19" x14ac:dyDescent="0.2">
      <c r="A3" s="114" t="s">
        <v>136</v>
      </c>
      <c r="B3" s="114" t="s">
        <v>145</v>
      </c>
      <c r="C3" s="4" t="s">
        <v>8</v>
      </c>
      <c r="D3" s="4" t="s">
        <v>9</v>
      </c>
      <c r="E3" s="4" t="s">
        <v>137</v>
      </c>
      <c r="F3" s="4"/>
      <c r="G3" s="4" t="s">
        <v>88</v>
      </c>
      <c r="H3" s="6" t="s">
        <v>117</v>
      </c>
      <c r="I3" s="6" t="s">
        <v>109</v>
      </c>
      <c r="J3" s="13" t="str" cm="1">
        <f t="array" ref="J3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T2D50</v>
      </c>
      <c r="K3" s="13" t="s">
        <v>198</v>
      </c>
      <c r="L3" s="18"/>
      <c r="N3" t="b">
        <v>1</v>
      </c>
      <c r="O3" t="s">
        <v>50</v>
      </c>
      <c r="P3">
        <v>700</v>
      </c>
      <c r="Q3" t="b" cm="1">
        <f t="array" aca="1" ref="Q3" ca="1">AND(ConitionalTable[[#This Row],[Column1]]=BoolYes,ConitionalTable[[#This Row],[Column2]]&lt;&gt;"BadValue",OR(ConitionalTable[[#This Row],[Column3]]&gt;0, NOT(SampleOptionTable[UseCol3])))</f>
        <v>1</v>
      </c>
    </row>
    <row r="4" spans="1:19" x14ac:dyDescent="0.2">
      <c r="A4" s="115" t="s">
        <v>94</v>
      </c>
      <c r="B4" s="115" t="s">
        <v>146</v>
      </c>
      <c r="C4" t="s">
        <v>8</v>
      </c>
      <c r="D4" t="s">
        <v>9</v>
      </c>
      <c r="E4" t="s">
        <v>137</v>
      </c>
      <c r="G4" t="s">
        <v>88</v>
      </c>
      <c r="H4" s="6" t="s">
        <v>117</v>
      </c>
      <c r="I4" s="6" t="s">
        <v>107</v>
      </c>
      <c r="J4" s="13" t="str" cm="1">
        <f t="array" ref="J4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T1L35</v>
      </c>
      <c r="K4" s="13" t="s">
        <v>198</v>
      </c>
      <c r="L4" s="14"/>
      <c r="N4" t="b">
        <v>0</v>
      </c>
      <c r="O4" t="s">
        <v>51</v>
      </c>
      <c r="P4">
        <v>5</v>
      </c>
      <c r="Q4" t="b" cm="1">
        <f t="array" aca="1" ref="Q4" ca="1">AND(ConitionalTable[[#This Row],[Column1]]=BoolYes,ConitionalTable[[#This Row],[Column2]]&lt;&gt;"BadValue",OR(ConitionalTable[[#This Row],[Column3]]&gt;0, NOT(SampleOptionTable[UseCol3])))</f>
        <v>0</v>
      </c>
    </row>
    <row r="5" spans="1:19" x14ac:dyDescent="0.2">
      <c r="A5" s="19" t="s">
        <v>135</v>
      </c>
      <c r="B5" s="110" t="s">
        <v>147</v>
      </c>
      <c r="C5" s="4" t="s">
        <v>11</v>
      </c>
      <c r="D5" s="4" t="s">
        <v>9</v>
      </c>
      <c r="E5" s="4" t="s">
        <v>12</v>
      </c>
      <c r="F5" s="4"/>
      <c r="G5" s="4" t="s">
        <v>124</v>
      </c>
      <c r="H5" s="6" t="s">
        <v>109</v>
      </c>
      <c r="I5" s="6" t="s">
        <v>190</v>
      </c>
      <c r="J5" s="13" t="str" cm="1">
        <f t="array" ref="J5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B2D25</v>
      </c>
      <c r="K5" s="13" t="s">
        <v>109</v>
      </c>
      <c r="L5" s="14"/>
      <c r="N5" t="b">
        <v>1</v>
      </c>
      <c r="P5">
        <v>-7</v>
      </c>
      <c r="Q5" t="b" cm="1">
        <f t="array" aca="1" ref="Q5" ca="1">AND(ConitionalTable[[#This Row],[Column1]]=BoolYes,ConitionalTable[[#This Row],[Column2]]&lt;&gt;"BadValue",OR(ConitionalTable[[#This Row],[Column3]]&gt;0, NOT(SampleOptionTable[UseCol3])))</f>
        <v>1</v>
      </c>
    </row>
    <row r="6" spans="1:19" x14ac:dyDescent="0.2">
      <c r="A6" s="111" t="s">
        <v>189</v>
      </c>
      <c r="B6" s="111" t="s">
        <v>188</v>
      </c>
      <c r="C6" s="4" t="s">
        <v>11</v>
      </c>
      <c r="D6" s="4" t="s">
        <v>9</v>
      </c>
      <c r="E6" s="4" t="s">
        <v>12</v>
      </c>
      <c r="F6" s="4"/>
      <c r="G6" s="4" t="s">
        <v>88</v>
      </c>
      <c r="H6" s="6" t="s">
        <v>109</v>
      </c>
      <c r="I6" s="6" t="s">
        <v>190</v>
      </c>
      <c r="J6" s="13" t="str" cm="1">
        <f t="array" ref="J6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B2D15</v>
      </c>
      <c r="K6" s="13" t="s">
        <v>109</v>
      </c>
      <c r="L6" s="14"/>
      <c r="N6" t="b">
        <v>1</v>
      </c>
      <c r="O6" t="s">
        <v>52</v>
      </c>
      <c r="P6">
        <v>20</v>
      </c>
      <c r="Q6" t="b" cm="1">
        <f t="array" aca="1" ref="Q6" ca="1">AND(ConitionalTable[[#This Row],[Column1]]=BoolYes,ConitionalTable[[#This Row],[Column2]]&lt;&gt;"BadValue",OR(ConitionalTable[[#This Row],[Column3]]&gt;0, NOT(SampleOptionTable[UseCol3])))</f>
        <v>1</v>
      </c>
    </row>
    <row r="7" spans="1:19" ht="14.3" thickBot="1" x14ac:dyDescent="0.25">
      <c r="A7" s="112" t="s">
        <v>10</v>
      </c>
      <c r="B7" s="113" t="s">
        <v>148</v>
      </c>
      <c r="C7" s="80" t="s">
        <v>11</v>
      </c>
      <c r="D7" s="80" t="s">
        <v>9</v>
      </c>
      <c r="E7" s="80" t="s">
        <v>12</v>
      </c>
      <c r="F7" s="80"/>
      <c r="G7" s="80" t="s">
        <v>88</v>
      </c>
      <c r="H7" s="117" t="s">
        <v>109</v>
      </c>
      <c r="I7" s="117" t="s">
        <v>190</v>
      </c>
      <c r="J7" s="81" t="str" cm="1">
        <f t="array" ref="J7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B2D5</v>
      </c>
      <c r="K7" s="81" t="s">
        <v>109</v>
      </c>
      <c r="L7" s="82"/>
      <c r="N7" t="b">
        <v>1</v>
      </c>
      <c r="P7">
        <v>-100</v>
      </c>
      <c r="Q7" t="b" cm="1">
        <f t="array" aca="1" ref="Q7" ca="1">AND(ConitionalTable[[#This Row],[Column1]]=BoolYes,ConitionalTable[[#This Row],[Column2]]&lt;&gt;"BadValue",OR(ConitionalTable[[#This Row],[Column3]]&gt;0, NOT(SampleOptionTable[UseCol3])))</f>
        <v>1</v>
      </c>
    </row>
    <row r="8" spans="1:19" x14ac:dyDescent="0.2">
      <c r="A8" s="99" t="s">
        <v>110</v>
      </c>
      <c r="B8" s="98" t="s">
        <v>183</v>
      </c>
      <c r="C8" s="4" t="s">
        <v>8</v>
      </c>
      <c r="D8" t="s">
        <v>9</v>
      </c>
      <c r="E8" t="s">
        <v>54</v>
      </c>
      <c r="F8" t="s">
        <v>191</v>
      </c>
      <c r="G8" t="s">
        <v>88</v>
      </c>
      <c r="H8" s="6" t="s">
        <v>117</v>
      </c>
      <c r="I8" s="6" t="s">
        <v>109</v>
      </c>
      <c r="J8" s="13" t="str" cm="1">
        <f t="array" ref="J8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T2D50</v>
      </c>
      <c r="K8" s="13" t="s">
        <v>108</v>
      </c>
      <c r="L8" s="14" t="s">
        <v>109</v>
      </c>
      <c r="N8" t="b">
        <v>1</v>
      </c>
      <c r="Q8" t="b" cm="1">
        <f t="array" aca="1" ref="Q8" ca="1">AND(ConitionalTable[[#This Row],[Column1]]=BoolYes,ConitionalTable[[#This Row],[Column2]]&lt;&gt;"BadValue",OR(ConitionalTable[[#This Row],[Column3]]&gt;0, NOT(SampleOptionTable[UseCol3])))</f>
        <v>1</v>
      </c>
    </row>
    <row r="9" spans="1:19" x14ac:dyDescent="0.2">
      <c r="A9" s="15" t="s">
        <v>53</v>
      </c>
      <c r="B9" s="61" t="s">
        <v>184</v>
      </c>
      <c r="C9" s="4" t="s">
        <v>8</v>
      </c>
      <c r="D9" s="4" t="s">
        <v>9</v>
      </c>
      <c r="E9" s="4" t="s">
        <v>54</v>
      </c>
      <c r="F9" s="4"/>
      <c r="G9" s="4" t="s">
        <v>88</v>
      </c>
      <c r="H9" s="6"/>
      <c r="I9" s="6" t="s">
        <v>107</v>
      </c>
      <c r="J9" s="13" t="str" cm="1">
        <f t="array" ref="J9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T1L35</v>
      </c>
      <c r="K9" s="13" t="s">
        <v>115</v>
      </c>
      <c r="L9" s="13"/>
      <c r="N9" t="b">
        <v>1</v>
      </c>
      <c r="P9">
        <v>80</v>
      </c>
      <c r="Q9" t="b" cm="1">
        <f t="array" aca="1" ref="Q9" ca="1">AND(ConitionalTable[[#This Row],[Column1]]=BoolYes,ConitionalTable[[#This Row],[Column2]]&lt;&gt;"BadValue",OR(ConitionalTable[[#This Row],[Column3]]&gt;0, NOT(SampleOptionTable[UseCol3])))</f>
        <v>1</v>
      </c>
    </row>
    <row r="10" spans="1:19" x14ac:dyDescent="0.2">
      <c r="A10" s="20" t="s">
        <v>111</v>
      </c>
      <c r="B10" s="62" t="s">
        <v>185</v>
      </c>
      <c r="C10" t="s">
        <v>23</v>
      </c>
      <c r="D10" t="s">
        <v>9</v>
      </c>
      <c r="E10" t="s">
        <v>24</v>
      </c>
      <c r="F10" s="2"/>
      <c r="G10" t="s">
        <v>88</v>
      </c>
      <c r="H10" s="6"/>
      <c r="I10" s="6" t="s">
        <v>117</v>
      </c>
      <c r="J10" s="13" t="str" cm="1">
        <f t="array" ref="J10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B1</v>
      </c>
      <c r="K10" s="13" t="s">
        <v>108</v>
      </c>
      <c r="L10" s="13"/>
      <c r="Q10" t="b" cm="1">
        <f t="array" aca="1" ref="Q10" ca="1">AND(ConitionalTable[[#This Row],[Column1]]=BoolYes,ConitionalTable[[#This Row],[Column2]]&lt;&gt;"BadValue",OR(ConitionalTable[[#This Row],[Column3]]&gt;0, NOT(SampleOptionTable[UseCol3])))</f>
        <v>0</v>
      </c>
    </row>
    <row r="11" spans="1:19" ht="14.3" thickBot="1" x14ac:dyDescent="0.25">
      <c r="A11" s="85" t="s">
        <v>114</v>
      </c>
      <c r="B11" s="86" t="s">
        <v>179</v>
      </c>
      <c r="C11" s="80" t="s">
        <v>23</v>
      </c>
      <c r="D11" s="80" t="s">
        <v>9</v>
      </c>
      <c r="E11" s="80" t="s">
        <v>24</v>
      </c>
      <c r="F11" s="80" t="s">
        <v>86</v>
      </c>
      <c r="G11" s="80" t="s">
        <v>88</v>
      </c>
      <c r="H11" s="117"/>
      <c r="I11" s="117" t="s">
        <v>117</v>
      </c>
      <c r="J11" s="81" t="str" cm="1">
        <f t="array" ref="J11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B1</v>
      </c>
      <c r="K11" s="81" t="s">
        <v>116</v>
      </c>
      <c r="L11" s="81" t="s">
        <v>106</v>
      </c>
      <c r="Q11" t="b" cm="1">
        <f t="array" aca="1" ref="Q11" ca="1">AND(ConitionalTable[[#This Row],[Column1]]=BoolYes,ConitionalTable[[#This Row],[Column2]]&lt;&gt;"BadValue",OR(ConitionalTable[[#This Row],[Column3]]&gt;0, NOT(SampleOptionTable[UseCol3])))</f>
        <v>0</v>
      </c>
    </row>
    <row r="12" spans="1:19" x14ac:dyDescent="0.2">
      <c r="A12" s="83" t="s">
        <v>58</v>
      </c>
      <c r="B12" s="84" t="s">
        <v>178</v>
      </c>
      <c r="C12" t="s">
        <v>20</v>
      </c>
      <c r="D12" t="s">
        <v>9</v>
      </c>
      <c r="E12" t="s">
        <v>15</v>
      </c>
      <c r="F12" t="s">
        <v>60</v>
      </c>
      <c r="G12" t="s">
        <v>88</v>
      </c>
      <c r="H12" s="6"/>
      <c r="I12" s="6" t="s">
        <v>129</v>
      </c>
      <c r="J12" s="13" t="str" cm="1">
        <f t="array" ref="J12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A1D50</v>
      </c>
      <c r="K12" s="13" t="s">
        <v>126</v>
      </c>
      <c r="L12" s="14"/>
      <c r="N12" t="b">
        <v>0</v>
      </c>
      <c r="Q12" t="b" cm="1">
        <f t="array" aca="1" ref="Q12" ca="1">AND(ConitionalTable[[#This Row],[Column1]]=BoolYes,ConitionalTable[[#This Row],[Column2]]&lt;&gt;"BadValue",OR(ConitionalTable[[#This Row],[Column3]]&gt;0, NOT(SampleOptionTable[UseCol3])))</f>
        <v>0</v>
      </c>
    </row>
    <row r="13" spans="1:19" x14ac:dyDescent="0.2">
      <c r="A13" s="1" t="s">
        <v>128</v>
      </c>
      <c r="B13" s="59" t="s">
        <v>177</v>
      </c>
      <c r="C13" s="4" t="s">
        <v>20</v>
      </c>
      <c r="D13" s="4" t="s">
        <v>16</v>
      </c>
      <c r="E13" s="4" t="s">
        <v>17</v>
      </c>
      <c r="F13" s="4" t="s">
        <v>60</v>
      </c>
      <c r="G13" s="4" t="s">
        <v>124</v>
      </c>
      <c r="H13" s="6"/>
      <c r="I13" s="6" t="s">
        <v>129</v>
      </c>
      <c r="J13" s="13" t="str" cm="1">
        <f t="array" ref="J13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A1</v>
      </c>
      <c r="K13" s="13" t="s">
        <v>142</v>
      </c>
      <c r="L13" s="14"/>
      <c r="N13" t="b">
        <v>0</v>
      </c>
      <c r="P13">
        <v>-56</v>
      </c>
      <c r="Q13" t="b" cm="1">
        <f t="array" aca="1" ref="Q13" ca="1">AND(ConitionalTable[[#This Row],[Column1]]=BoolYes,ConitionalTable[[#This Row],[Column2]]&lt;&gt;"BadValue",OR(ConitionalTable[[#This Row],[Column3]]&gt;0, NOT(SampleOptionTable[UseCol3])))</f>
        <v>0</v>
      </c>
    </row>
    <row r="14" spans="1:19" x14ac:dyDescent="0.2">
      <c r="A14" s="21" t="s">
        <v>59</v>
      </c>
      <c r="B14" s="100" t="s">
        <v>176</v>
      </c>
      <c r="C14" s="101" t="s">
        <v>61</v>
      </c>
      <c r="D14" s="101" t="s">
        <v>16</v>
      </c>
      <c r="E14" s="101" t="s">
        <v>17</v>
      </c>
      <c r="F14" s="101" t="s">
        <v>60</v>
      </c>
      <c r="G14" s="101" t="s">
        <v>88</v>
      </c>
      <c r="H14" s="118"/>
      <c r="I14" s="118" t="s">
        <v>129</v>
      </c>
      <c r="J14" s="102" t="str" cm="1">
        <f t="array" ref="J14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A1L60</v>
      </c>
      <c r="K14" s="102" t="s">
        <v>105</v>
      </c>
      <c r="L14" s="103"/>
      <c r="N14" t="b">
        <v>0</v>
      </c>
      <c r="Q14" t="b" cm="1">
        <f t="array" aca="1" ref="Q14" ca="1">AND(ConitionalTable[[#This Row],[Column1]]=BoolYes,ConitionalTable[[#This Row],[Column2]]&lt;&gt;"BadValue",OR(ConitionalTable[[#This Row],[Column3]]&gt;0, NOT(SampleOptionTable[UseCol3])))</f>
        <v>0</v>
      </c>
    </row>
    <row r="15" spans="1:19" ht="14.3" thickBot="1" x14ac:dyDescent="0.25">
      <c r="A15" s="108" t="s">
        <v>193</v>
      </c>
      <c r="B15" s="108" t="s">
        <v>194</v>
      </c>
      <c r="C15" s="104" t="s">
        <v>195</v>
      </c>
      <c r="D15" s="104" t="s">
        <v>9</v>
      </c>
      <c r="E15" s="104" t="s">
        <v>196</v>
      </c>
      <c r="F15" s="80" t="s">
        <v>86</v>
      </c>
      <c r="G15" s="104" t="s">
        <v>88</v>
      </c>
      <c r="H15" s="119"/>
      <c r="I15" s="119" t="s">
        <v>129</v>
      </c>
      <c r="J15" s="105" t="str" cm="1">
        <f t="array" ref="J15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A1</v>
      </c>
      <c r="K15" s="106" t="s">
        <v>105</v>
      </c>
      <c r="L15" s="107" t="s">
        <v>126</v>
      </c>
      <c r="N15" t="b">
        <v>0</v>
      </c>
      <c r="Q15" t="b" cm="1">
        <f t="array" aca="1" ref="Q15" ca="1">AND(ConitionalTable[[#This Row],[Column1]]=BoolYes,ConitionalTable[[#This Row],[Column2]]&lt;&gt;"BadValue",OR(ConitionalTable[[#This Row],[Column3]]&gt;0, NOT(SampleOptionTable[UseCol3])))</f>
        <v>0</v>
      </c>
    </row>
    <row r="16" spans="1:19" x14ac:dyDescent="0.2">
      <c r="A16" s="87" t="s">
        <v>62</v>
      </c>
      <c r="B16" s="88" t="s">
        <v>170</v>
      </c>
      <c r="C16" s="4" t="s">
        <v>8</v>
      </c>
      <c r="D16" s="4" t="s">
        <v>9</v>
      </c>
      <c r="E16" s="4" t="s">
        <v>15</v>
      </c>
      <c r="F16" s="4"/>
      <c r="G16" s="4" t="s">
        <v>88</v>
      </c>
      <c r="H16" s="6"/>
      <c r="I16" s="6" t="s">
        <v>187</v>
      </c>
      <c r="J16" s="13" t="str" cm="1">
        <f t="array" ref="J16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A2D50</v>
      </c>
      <c r="K16" s="13" t="s">
        <v>192</v>
      </c>
      <c r="L16" s="14"/>
      <c r="N16" t="b">
        <v>0</v>
      </c>
      <c r="Q16" t="b" cm="1">
        <f t="array" aca="1" ref="Q16" ca="1">AND(ConitionalTable[[#This Row],[Column1]]=BoolYes,ConitionalTable[[#This Row],[Column2]]&lt;&gt;"BadValue",OR(ConitionalTable[[#This Row],[Column3]]&gt;0, NOT(SampleOptionTable[UseCol3])))</f>
        <v>0</v>
      </c>
      <c r="S16" s="7" t="s">
        <v>55</v>
      </c>
    </row>
    <row r="17" spans="1:19" x14ac:dyDescent="0.2">
      <c r="A17" s="66" t="s">
        <v>13</v>
      </c>
      <c r="B17" s="66" t="s">
        <v>169</v>
      </c>
      <c r="C17" s="4" t="s">
        <v>8</v>
      </c>
      <c r="D17" s="4" t="s">
        <v>9</v>
      </c>
      <c r="E17" s="4" t="s">
        <v>15</v>
      </c>
      <c r="F17" s="4"/>
      <c r="G17" s="4" t="s">
        <v>88</v>
      </c>
      <c r="H17" s="6"/>
      <c r="I17" s="6" t="s">
        <v>187</v>
      </c>
      <c r="J17" s="13" t="str" cm="1">
        <f t="array" ref="J17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A2D25</v>
      </c>
      <c r="K17" s="13" t="s">
        <v>192</v>
      </c>
      <c r="L17" s="14"/>
      <c r="N17" t="b">
        <v>0</v>
      </c>
      <c r="Q17" t="b" cm="1">
        <f t="array" aca="1" ref="Q17" ca="1">AND(ConitionalTable[[#This Row],[Column1]]=BoolYes,ConitionalTable[[#This Row],[Column2]]&lt;&gt;"BadValue",OR(ConitionalTable[[#This Row],[Column3]]&gt;0, NOT(SampleOptionTable[UseCol3])))</f>
        <v>0</v>
      </c>
      <c r="S17" s="3" t="b">
        <v>0</v>
      </c>
    </row>
    <row r="18" spans="1:19" x14ac:dyDescent="0.2">
      <c r="A18" s="63" t="s">
        <v>181</v>
      </c>
      <c r="B18" s="63" t="s">
        <v>180</v>
      </c>
      <c r="C18" s="4" t="s">
        <v>19</v>
      </c>
      <c r="D18" s="4" t="s">
        <v>16</v>
      </c>
      <c r="E18" s="4" t="s">
        <v>17</v>
      </c>
      <c r="F18" s="4" t="s">
        <v>182</v>
      </c>
      <c r="G18" s="4" t="s">
        <v>124</v>
      </c>
      <c r="H18" s="6"/>
      <c r="I18" s="6" t="s">
        <v>187</v>
      </c>
      <c r="J18" s="13" t="str" cm="1">
        <f t="array" ref="J18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A2</v>
      </c>
      <c r="K18" s="13" t="s">
        <v>107</v>
      </c>
      <c r="L18" s="14"/>
      <c r="N18" t="b">
        <v>0</v>
      </c>
      <c r="Q18" t="b" cm="1">
        <f t="array" aca="1" ref="Q18" ca="1">AND(ConitionalTable[[#This Row],[Column1]]=BoolYes,ConitionalTable[[#This Row],[Column2]]&lt;&gt;"BadValue",OR(ConitionalTable[[#This Row],[Column3]]&gt;0, NOT(SampleOptionTable[UseCol3])))</f>
        <v>0</v>
      </c>
    </row>
    <row r="19" spans="1:19" x14ac:dyDescent="0.2">
      <c r="A19" s="64" t="s">
        <v>73</v>
      </c>
      <c r="B19" s="65" t="s">
        <v>168</v>
      </c>
      <c r="C19" s="4" t="s">
        <v>19</v>
      </c>
      <c r="D19" s="4" t="s">
        <v>16</v>
      </c>
      <c r="E19" s="4" t="s">
        <v>17</v>
      </c>
      <c r="F19" s="4"/>
      <c r="G19" s="4" t="s">
        <v>124</v>
      </c>
      <c r="H19" s="6"/>
      <c r="I19" s="6" t="s">
        <v>187</v>
      </c>
      <c r="J19" s="13" t="str" cm="1">
        <f t="array" ref="J19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A2</v>
      </c>
      <c r="K19" s="13" t="s">
        <v>107</v>
      </c>
      <c r="L19" s="14"/>
      <c r="N19" t="b">
        <v>0</v>
      </c>
      <c r="Q19" t="b" cm="1">
        <f t="array" aca="1" ref="Q19" ca="1">AND(ConitionalTable[[#This Row],[Column1]]=BoolYes,ConitionalTable[[#This Row],[Column2]]&lt;&gt;"BadValue",OR(ConitionalTable[[#This Row],[Column3]]&gt;0, NOT(SampleOptionTable[UseCol3])))</f>
        <v>0</v>
      </c>
    </row>
    <row r="20" spans="1:19" x14ac:dyDescent="0.2">
      <c r="A20" s="67" t="s">
        <v>63</v>
      </c>
      <c r="B20" s="68" t="s">
        <v>166</v>
      </c>
      <c r="C20" s="4" t="s">
        <v>19</v>
      </c>
      <c r="D20" s="4" t="s">
        <v>16</v>
      </c>
      <c r="E20" s="4" t="s">
        <v>17</v>
      </c>
      <c r="F20" s="4"/>
      <c r="G20" s="4" t="s">
        <v>88</v>
      </c>
      <c r="H20" s="6"/>
      <c r="I20" s="6" t="s">
        <v>187</v>
      </c>
      <c r="J20" s="13" t="str" cm="1">
        <f t="array" ref="J20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A2L40</v>
      </c>
      <c r="K20" s="13" t="s">
        <v>107</v>
      </c>
      <c r="L20" s="14"/>
      <c r="N20" t="b">
        <v>0</v>
      </c>
      <c r="Q20" t="b" cm="1">
        <f t="array" aca="1" ref="Q20" ca="1">AND(ConitionalTable[[#This Row],[Column1]]=BoolYes,ConitionalTable[[#This Row],[Column2]]&lt;&gt;"BadValue",OR(ConitionalTable[[#This Row],[Column3]]&gt;0, NOT(SampleOptionTable[UseCol3])))</f>
        <v>0</v>
      </c>
    </row>
    <row r="21" spans="1:19" x14ac:dyDescent="0.2">
      <c r="A21" s="69" t="s">
        <v>18</v>
      </c>
      <c r="B21" s="70" t="s">
        <v>167</v>
      </c>
      <c r="C21" s="4" t="s">
        <v>19</v>
      </c>
      <c r="D21" s="4" t="s">
        <v>16</v>
      </c>
      <c r="E21" s="4" t="s">
        <v>17</v>
      </c>
      <c r="F21" s="4"/>
      <c r="G21" s="4" t="s">
        <v>88</v>
      </c>
      <c r="H21" s="6"/>
      <c r="I21" s="6" t="s">
        <v>187</v>
      </c>
      <c r="J21" s="13" t="str" cm="1">
        <f t="array" ref="J21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A2L60</v>
      </c>
      <c r="K21" s="13" t="s">
        <v>107</v>
      </c>
      <c r="L21" s="14"/>
      <c r="Q21" t="b" cm="1">
        <f t="array" aca="1" ref="Q21" ca="1">AND(ConitionalTable[[#This Row],[Column1]]=BoolYes,ConitionalTable[[#This Row],[Column2]]&lt;&gt;"BadValue",OR(ConitionalTable[[#This Row],[Column3]]&gt;0, NOT(SampleOptionTable[UseCol3])))</f>
        <v>0</v>
      </c>
    </row>
    <row r="22" spans="1:19" ht="14.3" thickBot="1" x14ac:dyDescent="0.25">
      <c r="A22" s="89" t="s">
        <v>99</v>
      </c>
      <c r="B22" s="89" t="s">
        <v>164</v>
      </c>
      <c r="C22" s="80" t="s">
        <v>19</v>
      </c>
      <c r="D22" s="80" t="s">
        <v>16</v>
      </c>
      <c r="E22" s="80" t="s">
        <v>57</v>
      </c>
      <c r="F22" s="80" t="s">
        <v>86</v>
      </c>
      <c r="G22" s="80" t="s">
        <v>88</v>
      </c>
      <c r="H22" s="117"/>
      <c r="I22" s="117" t="s">
        <v>187</v>
      </c>
      <c r="J22" s="81" t="str" cm="1">
        <f t="array" ref="J22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A2</v>
      </c>
      <c r="K22" s="81" t="s">
        <v>197</v>
      </c>
      <c r="L22" s="82" t="s">
        <v>192</v>
      </c>
    </row>
    <row r="23" spans="1:19" x14ac:dyDescent="0.2">
      <c r="A23" s="109" t="s">
        <v>91</v>
      </c>
      <c r="B23" s="109" t="s">
        <v>171</v>
      </c>
      <c r="C23" t="s">
        <v>8</v>
      </c>
      <c r="D23" t="s">
        <v>9</v>
      </c>
      <c r="E23" t="s">
        <v>15</v>
      </c>
      <c r="F23" t="s">
        <v>191</v>
      </c>
      <c r="G23" s="4" t="s">
        <v>88</v>
      </c>
      <c r="H23" s="6"/>
      <c r="I23" s="6" t="s">
        <v>127</v>
      </c>
      <c r="J23" s="13" t="str" cm="1">
        <f t="array" ref="J23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A3D50</v>
      </c>
      <c r="K23" s="13" t="s">
        <v>119</v>
      </c>
      <c r="L23" s="14" t="s">
        <v>109</v>
      </c>
    </row>
    <row r="24" spans="1:19" s="4" customFormat="1" x14ac:dyDescent="0.2">
      <c r="A24" s="23" t="s">
        <v>92</v>
      </c>
      <c r="B24" s="23" t="s">
        <v>172</v>
      </c>
      <c r="C24" t="s">
        <v>14</v>
      </c>
      <c r="D24" t="s">
        <v>9</v>
      </c>
      <c r="E24" t="s">
        <v>100</v>
      </c>
      <c r="F24"/>
      <c r="G24" t="s">
        <v>88</v>
      </c>
      <c r="H24" s="6"/>
      <c r="I24" s="6" t="s">
        <v>127</v>
      </c>
      <c r="J24" s="13" t="str" cm="1">
        <f t="array" ref="J24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A3D25</v>
      </c>
      <c r="K24" s="13" t="s">
        <v>119</v>
      </c>
      <c r="L24" s="14"/>
    </row>
    <row r="25" spans="1:19" s="4" customFormat="1" x14ac:dyDescent="0.2">
      <c r="A25" s="28" t="s">
        <v>131</v>
      </c>
      <c r="B25" s="28" t="s">
        <v>173</v>
      </c>
      <c r="C25" s="4" t="s">
        <v>11</v>
      </c>
      <c r="D25" s="4" t="s">
        <v>9</v>
      </c>
      <c r="E25" s="4" t="s">
        <v>102</v>
      </c>
      <c r="G25" s="4" t="s">
        <v>124</v>
      </c>
      <c r="H25" s="6"/>
      <c r="I25" s="6" t="s">
        <v>127</v>
      </c>
      <c r="J25" s="13" t="str" cm="1">
        <f t="array" ref="J25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A3</v>
      </c>
      <c r="K25" s="13" t="s">
        <v>107</v>
      </c>
      <c r="L25" s="14"/>
    </row>
    <row r="26" spans="1:19" x14ac:dyDescent="0.2">
      <c r="A26" s="24" t="s">
        <v>96</v>
      </c>
      <c r="B26" s="58" t="s">
        <v>174</v>
      </c>
      <c r="C26" t="s">
        <v>11</v>
      </c>
      <c r="D26" t="s">
        <v>9</v>
      </c>
      <c r="E26" s="4" t="s">
        <v>101</v>
      </c>
      <c r="G26" t="s">
        <v>88</v>
      </c>
      <c r="H26" s="6"/>
      <c r="I26" s="6" t="s">
        <v>127</v>
      </c>
      <c r="J26" s="13" t="str" cm="1">
        <f t="array" ref="J26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A3L40</v>
      </c>
      <c r="K26" s="13" t="s">
        <v>107</v>
      </c>
      <c r="L26" s="14"/>
    </row>
    <row r="27" spans="1:19" x14ac:dyDescent="0.2">
      <c r="A27" s="25" t="s">
        <v>95</v>
      </c>
      <c r="B27" s="25" t="s">
        <v>175</v>
      </c>
      <c r="C27" t="s">
        <v>11</v>
      </c>
      <c r="D27" t="s">
        <v>9</v>
      </c>
      <c r="E27" t="s">
        <v>102</v>
      </c>
      <c r="G27" s="2" t="s">
        <v>88</v>
      </c>
      <c r="H27" s="6"/>
      <c r="I27" s="6" t="s">
        <v>127</v>
      </c>
      <c r="J27" s="13" t="str" cm="1">
        <f t="array" ref="J27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A3L60</v>
      </c>
      <c r="K27" s="13" t="s">
        <v>107</v>
      </c>
      <c r="L27" s="14"/>
    </row>
    <row r="28" spans="1:19" ht="14.3" thickBot="1" x14ac:dyDescent="0.25">
      <c r="A28" s="92" t="s">
        <v>97</v>
      </c>
      <c r="B28" s="92" t="s">
        <v>165</v>
      </c>
      <c r="C28" s="80" t="s">
        <v>21</v>
      </c>
      <c r="D28" s="80" t="s">
        <v>16</v>
      </c>
      <c r="E28" s="80" t="s">
        <v>22</v>
      </c>
      <c r="F28" s="80" t="s">
        <v>86</v>
      </c>
      <c r="G28" s="80" t="s">
        <v>88</v>
      </c>
      <c r="H28" s="117"/>
      <c r="I28" s="117" t="s">
        <v>127</v>
      </c>
      <c r="J28" s="81" t="str" cm="1">
        <f t="array" ref="J28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A3</v>
      </c>
      <c r="K28" s="81" t="s">
        <v>123</v>
      </c>
      <c r="L28" s="82" t="s">
        <v>119</v>
      </c>
    </row>
    <row r="29" spans="1:19" x14ac:dyDescent="0.2">
      <c r="A29" s="90" t="s">
        <v>62</v>
      </c>
      <c r="B29" s="91" t="s">
        <v>170</v>
      </c>
      <c r="C29" t="s">
        <v>8</v>
      </c>
      <c r="D29" t="s">
        <v>9</v>
      </c>
      <c r="E29" t="s">
        <v>15</v>
      </c>
      <c r="G29" t="s">
        <v>88</v>
      </c>
      <c r="H29" s="6"/>
      <c r="I29" s="6" t="s">
        <v>125</v>
      </c>
      <c r="J29" s="13" t="str" cm="1">
        <f t="array" ref="J29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A4D50</v>
      </c>
      <c r="K29" s="13" t="s">
        <v>112</v>
      </c>
      <c r="L29" s="14"/>
    </row>
    <row r="30" spans="1:19" x14ac:dyDescent="0.2">
      <c r="A30" s="57" t="s">
        <v>13</v>
      </c>
      <c r="B30" s="57" t="s">
        <v>169</v>
      </c>
      <c r="C30" t="s">
        <v>8</v>
      </c>
      <c r="D30" t="s">
        <v>9</v>
      </c>
      <c r="E30" t="s">
        <v>15</v>
      </c>
      <c r="G30" t="s">
        <v>88</v>
      </c>
      <c r="H30" s="6"/>
      <c r="I30" s="6" t="s">
        <v>125</v>
      </c>
      <c r="J30" s="13" t="str" cm="1">
        <f t="array" ref="J30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A4D25</v>
      </c>
      <c r="K30" s="13" t="s">
        <v>112</v>
      </c>
      <c r="L30" s="14"/>
    </row>
    <row r="31" spans="1:19" x14ac:dyDescent="0.2">
      <c r="A31" s="60" t="s">
        <v>181</v>
      </c>
      <c r="B31" s="60" t="s">
        <v>180</v>
      </c>
      <c r="C31" s="4" t="s">
        <v>19</v>
      </c>
      <c r="D31" s="4" t="s">
        <v>16</v>
      </c>
      <c r="E31" s="4" t="s">
        <v>17</v>
      </c>
      <c r="F31" s="4" t="s">
        <v>182</v>
      </c>
      <c r="G31" s="4" t="s">
        <v>124</v>
      </c>
      <c r="H31" s="6"/>
      <c r="I31" s="6" t="s">
        <v>125</v>
      </c>
      <c r="J31" s="13" t="str" cm="1">
        <f t="array" ref="J31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A4</v>
      </c>
      <c r="K31" s="13" t="s">
        <v>107</v>
      </c>
      <c r="L31" s="14"/>
    </row>
    <row r="32" spans="1:19" s="2" customFormat="1" x14ac:dyDescent="0.2">
      <c r="A32" s="26" t="s">
        <v>73</v>
      </c>
      <c r="B32" s="54" t="s">
        <v>168</v>
      </c>
      <c r="C32" s="4" t="s">
        <v>19</v>
      </c>
      <c r="D32" s="4" t="s">
        <v>16</v>
      </c>
      <c r="E32" s="4" t="s">
        <v>17</v>
      </c>
      <c r="F32" s="4"/>
      <c r="G32" s="4" t="s">
        <v>124</v>
      </c>
      <c r="H32" s="6"/>
      <c r="I32" s="6" t="s">
        <v>125</v>
      </c>
      <c r="J32" s="13" t="str" cm="1">
        <f t="array" ref="J32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A4</v>
      </c>
      <c r="K32" s="13" t="s">
        <v>107</v>
      </c>
      <c r="L32" s="14"/>
    </row>
    <row r="33" spans="1:12" s="2" customFormat="1" x14ac:dyDescent="0.2">
      <c r="A33" s="22" t="s">
        <v>63</v>
      </c>
      <c r="B33" s="55" t="s">
        <v>166</v>
      </c>
      <c r="C33" t="s">
        <v>19</v>
      </c>
      <c r="D33" t="s">
        <v>16</v>
      </c>
      <c r="E33" t="s">
        <v>17</v>
      </c>
      <c r="F33"/>
      <c r="G33" t="s">
        <v>88</v>
      </c>
      <c r="H33" s="6"/>
      <c r="I33" s="6" t="s">
        <v>125</v>
      </c>
      <c r="J33" s="13" t="str" cm="1">
        <f t="array" ref="J33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A4L40</v>
      </c>
      <c r="K33" s="13" t="s">
        <v>107</v>
      </c>
      <c r="L33" s="14"/>
    </row>
    <row r="34" spans="1:12" x14ac:dyDescent="0.2">
      <c r="A34" s="10" t="s">
        <v>18</v>
      </c>
      <c r="B34" s="56" t="s">
        <v>167</v>
      </c>
      <c r="C34" t="s">
        <v>19</v>
      </c>
      <c r="D34" t="s">
        <v>16</v>
      </c>
      <c r="E34" t="s">
        <v>17</v>
      </c>
      <c r="G34" t="s">
        <v>88</v>
      </c>
      <c r="H34" s="6"/>
      <c r="I34" s="6" t="s">
        <v>125</v>
      </c>
      <c r="J34" s="13" t="str" cm="1">
        <f t="array" ref="J34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A4L60</v>
      </c>
      <c r="K34" s="13" t="s">
        <v>107</v>
      </c>
      <c r="L34" s="14"/>
    </row>
    <row r="35" spans="1:12" ht="14.3" thickBot="1" x14ac:dyDescent="0.25">
      <c r="A35" s="94" t="s">
        <v>99</v>
      </c>
      <c r="B35" s="94" t="s">
        <v>164</v>
      </c>
      <c r="C35" s="80" t="s">
        <v>19</v>
      </c>
      <c r="D35" s="80" t="s">
        <v>16</v>
      </c>
      <c r="E35" s="80" t="s">
        <v>57</v>
      </c>
      <c r="F35" s="80" t="s">
        <v>86</v>
      </c>
      <c r="G35" s="80" t="s">
        <v>88</v>
      </c>
      <c r="H35" s="117"/>
      <c r="I35" s="117" t="s">
        <v>125</v>
      </c>
      <c r="J35" s="81" t="str" cm="1">
        <f t="array" ref="J35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A4</v>
      </c>
      <c r="K35" s="81" t="s">
        <v>120</v>
      </c>
      <c r="L35" s="82" t="s">
        <v>112</v>
      </c>
    </row>
    <row r="36" spans="1:12" x14ac:dyDescent="0.2">
      <c r="A36" s="93" t="s">
        <v>84</v>
      </c>
      <c r="B36" s="93" t="s">
        <v>159</v>
      </c>
      <c r="C36" t="s">
        <v>8</v>
      </c>
      <c r="D36" t="s">
        <v>9</v>
      </c>
      <c r="E36" t="s">
        <v>15</v>
      </c>
      <c r="G36" t="s">
        <v>88</v>
      </c>
      <c r="H36" s="6"/>
      <c r="I36" s="6" t="s">
        <v>132</v>
      </c>
      <c r="J36" s="13" t="str" cm="1">
        <f t="array" ref="J36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A5D50</v>
      </c>
      <c r="K36" s="13" t="s">
        <v>118</v>
      </c>
      <c r="L36" s="14"/>
    </row>
    <row r="37" spans="1:12" x14ac:dyDescent="0.2">
      <c r="A37" s="27" t="s">
        <v>83</v>
      </c>
      <c r="B37" s="27" t="s">
        <v>162</v>
      </c>
      <c r="C37" t="s">
        <v>8</v>
      </c>
      <c r="D37" t="s">
        <v>9</v>
      </c>
      <c r="E37" t="s">
        <v>15</v>
      </c>
      <c r="G37" t="s">
        <v>88</v>
      </c>
      <c r="H37" s="6"/>
      <c r="I37" s="6" t="s">
        <v>132</v>
      </c>
      <c r="J37" s="13" t="str" cm="1">
        <f t="array" ref="J37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A5D25</v>
      </c>
      <c r="K37" s="13" t="s">
        <v>118</v>
      </c>
      <c r="L37" s="14"/>
    </row>
    <row r="38" spans="1:12" x14ac:dyDescent="0.2">
      <c r="A38" s="44" t="s">
        <v>130</v>
      </c>
      <c r="B38" s="44" t="s">
        <v>149</v>
      </c>
      <c r="C38" s="4" t="s">
        <v>11</v>
      </c>
      <c r="D38" s="4" t="s">
        <v>9</v>
      </c>
      <c r="E38" s="4" t="s">
        <v>41</v>
      </c>
      <c r="F38" s="4"/>
      <c r="G38" s="4" t="s">
        <v>124</v>
      </c>
      <c r="H38" s="6"/>
      <c r="I38" s="6" t="s">
        <v>132</v>
      </c>
      <c r="J38" s="13" t="str" cm="1">
        <f t="array" ref="J38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A5</v>
      </c>
      <c r="K38" s="13" t="s">
        <v>107</v>
      </c>
      <c r="L38" s="14"/>
    </row>
    <row r="39" spans="1:12" x14ac:dyDescent="0.2">
      <c r="A39" s="52" t="s">
        <v>93</v>
      </c>
      <c r="B39" s="52" t="s">
        <v>161</v>
      </c>
      <c r="C39" t="s">
        <v>11</v>
      </c>
      <c r="D39" t="s">
        <v>9</v>
      </c>
      <c r="E39" t="s">
        <v>41</v>
      </c>
      <c r="G39" t="s">
        <v>88</v>
      </c>
      <c r="H39" s="6"/>
      <c r="I39" s="6" t="s">
        <v>132</v>
      </c>
      <c r="J39" s="13" t="str" cm="1">
        <f t="array" ref="J39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A5L40</v>
      </c>
      <c r="K39" s="13" t="s">
        <v>107</v>
      </c>
      <c r="L39" s="14"/>
    </row>
    <row r="40" spans="1:12" x14ac:dyDescent="0.2">
      <c r="A40" s="53" t="s">
        <v>82</v>
      </c>
      <c r="B40" s="53" t="s">
        <v>160</v>
      </c>
      <c r="C40" t="s">
        <v>11</v>
      </c>
      <c r="D40" t="s">
        <v>9</v>
      </c>
      <c r="E40" t="s">
        <v>41</v>
      </c>
      <c r="G40" t="s">
        <v>88</v>
      </c>
      <c r="H40" s="6"/>
      <c r="I40" s="6" t="s">
        <v>132</v>
      </c>
      <c r="J40" s="13" t="str" cm="1">
        <f t="array" ref="J40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A5L60</v>
      </c>
      <c r="K40" s="13" t="s">
        <v>107</v>
      </c>
      <c r="L40" s="14"/>
    </row>
    <row r="41" spans="1:12" ht="14.3" thickBot="1" x14ac:dyDescent="0.25">
      <c r="A41" s="97" t="s">
        <v>98</v>
      </c>
      <c r="B41" s="97" t="s">
        <v>163</v>
      </c>
      <c r="C41" s="80" t="s">
        <v>11</v>
      </c>
      <c r="D41" s="80" t="s">
        <v>9</v>
      </c>
      <c r="E41" s="80" t="s">
        <v>41</v>
      </c>
      <c r="F41" s="80" t="s">
        <v>86</v>
      </c>
      <c r="G41" s="80" t="s">
        <v>88</v>
      </c>
      <c r="H41" s="117"/>
      <c r="I41" s="117" t="s">
        <v>132</v>
      </c>
      <c r="J41" s="81" t="str" cm="1">
        <f t="array" ref="J41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A5</v>
      </c>
      <c r="K41" s="81" t="s">
        <v>122</v>
      </c>
      <c r="L41" s="82" t="s">
        <v>143</v>
      </c>
    </row>
    <row r="42" spans="1:12" x14ac:dyDescent="0.2">
      <c r="A42" s="95" t="s">
        <v>25</v>
      </c>
      <c r="B42" s="96" t="s">
        <v>156</v>
      </c>
      <c r="C42" t="s">
        <v>8</v>
      </c>
      <c r="D42" t="s">
        <v>9</v>
      </c>
      <c r="E42" t="s">
        <v>26</v>
      </c>
      <c r="G42" t="s">
        <v>88</v>
      </c>
      <c r="H42" s="6"/>
      <c r="I42" s="6" t="s">
        <v>133</v>
      </c>
      <c r="J42" s="13" t="str" cm="1">
        <f t="array" ref="J42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A6D50</v>
      </c>
      <c r="K42" s="13" t="s">
        <v>113</v>
      </c>
      <c r="L42" s="14"/>
    </row>
    <row r="43" spans="1:12" x14ac:dyDescent="0.2">
      <c r="A43" s="41" t="s">
        <v>27</v>
      </c>
      <c r="B43" s="41" t="s">
        <v>155</v>
      </c>
      <c r="C43" t="s">
        <v>8</v>
      </c>
      <c r="D43" t="s">
        <v>9</v>
      </c>
      <c r="E43" t="s">
        <v>26</v>
      </c>
      <c r="G43" t="s">
        <v>88</v>
      </c>
      <c r="H43" s="6"/>
      <c r="I43" s="6" t="s">
        <v>133</v>
      </c>
      <c r="J43" s="13" t="str" cm="1">
        <f t="array" ref="J43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A6D25</v>
      </c>
      <c r="K43" s="13" t="s">
        <v>113</v>
      </c>
      <c r="L43" s="14"/>
    </row>
    <row r="44" spans="1:12" x14ac:dyDescent="0.2">
      <c r="A44" s="17" t="s">
        <v>134</v>
      </c>
      <c r="B44" s="49" t="s">
        <v>150</v>
      </c>
      <c r="C44" s="4" t="s">
        <v>8</v>
      </c>
      <c r="D44" s="4" t="s">
        <v>9</v>
      </c>
      <c r="E44" s="4" t="s">
        <v>26</v>
      </c>
      <c r="F44" s="4"/>
      <c r="G44" s="4" t="s">
        <v>124</v>
      </c>
      <c r="H44" s="6"/>
      <c r="I44" s="6" t="s">
        <v>133</v>
      </c>
      <c r="J44" s="13" t="str" cm="1">
        <f t="array" ref="J44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A6</v>
      </c>
      <c r="K44" s="13" t="s">
        <v>107</v>
      </c>
      <c r="L44" s="14"/>
    </row>
    <row r="45" spans="1:12" x14ac:dyDescent="0.2">
      <c r="A45" s="11" t="s">
        <v>28</v>
      </c>
      <c r="B45" s="50" t="s">
        <v>154</v>
      </c>
      <c r="C45" t="s">
        <v>21</v>
      </c>
      <c r="D45" t="s">
        <v>9</v>
      </c>
      <c r="E45" t="s">
        <v>26</v>
      </c>
      <c r="G45" t="s">
        <v>88</v>
      </c>
      <c r="H45" s="6"/>
      <c r="I45" s="6" t="s">
        <v>133</v>
      </c>
      <c r="J45" s="13" t="str" cm="1">
        <f t="array" ref="J45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A6L40</v>
      </c>
      <c r="K45" s="13" t="s">
        <v>107</v>
      </c>
      <c r="L45" s="14"/>
    </row>
    <row r="46" spans="1:12" x14ac:dyDescent="0.2">
      <c r="A46" s="16" t="s">
        <v>29</v>
      </c>
      <c r="B46" t="s">
        <v>157</v>
      </c>
      <c r="C46" t="s">
        <v>21</v>
      </c>
      <c r="D46" t="s">
        <v>9</v>
      </c>
      <c r="E46" t="s">
        <v>26</v>
      </c>
      <c r="G46" t="s">
        <v>88</v>
      </c>
      <c r="H46" s="6"/>
      <c r="I46" s="6" t="s">
        <v>133</v>
      </c>
      <c r="J46" s="13" t="str" cm="1">
        <f t="array" ref="J46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A6L60</v>
      </c>
      <c r="K46" s="13" t="s">
        <v>107</v>
      </c>
      <c r="L46" s="14"/>
    </row>
    <row r="47" spans="1:12" x14ac:dyDescent="0.2">
      <c r="A47" s="42" t="s">
        <v>103</v>
      </c>
      <c r="B47" s="51" t="s">
        <v>158</v>
      </c>
      <c r="C47" s="4" t="s">
        <v>104</v>
      </c>
      <c r="D47" s="4" t="s">
        <v>9</v>
      </c>
      <c r="E47" s="4" t="s">
        <v>26</v>
      </c>
      <c r="F47" s="4" t="s">
        <v>86</v>
      </c>
      <c r="G47" s="4" t="s">
        <v>88</v>
      </c>
      <c r="H47" s="6"/>
      <c r="I47" s="6" t="s">
        <v>133</v>
      </c>
      <c r="J47" s="13" t="str" cm="1">
        <f t="array" ref="J47">_xlfn.LET(
_xlpm.s, KeyTable[[#This Row],[StyleName]],
_xlpm.r_two, RIGHT(_xlpm.s, 2),
_xlpm.r_three, RIGHT(_xlpm.s, 3),
_xlpm.r_four, RIGHT(_xlpm.s, 4),
_xlpm.r_five, RIGHT(_xlpm.s, 5),
_xlpm.r_six, RIGHT(_xlpm.s, 6),
_xlpm.l_three, LEFT(_xlpm.s, 3),
_xlpm.cval, _xlpm.r_three = "Val",
_xlpm.cdat, _xlpm.r_four = "Date",
_xlpm.ckey, _xlpm.r_three = "Key",
_xlpm.ched, _xlpm.r_two = "Hd",
_xlpm.cchd, _xlpm.r_three = "cHd",
_xlpm.chky, _xlpm.r_five = "HdKey",
_xlpm.cell, _xlpm.r_four = "Cell",
_xlpm.cact, _xlpm.l_three = "Act",
_xlpm.boxhd, _xlpm.s = "BoxHd",
_xlpm.calcval, _xlpm.s = "CalcVal",
_xlpm.calckey, _xlpm.s = "CalcKey",
_xlpm.calccell, _xlpm.s = "CalcCell",
_xlpm.deaccell, _xlpm.s = "DeacCell",
_xlpm.deachdkey, _xlpm.s = "DeacHdKey",
_xlfn.IFS(
_xlpm.boxhd, KeyTable[[#This Row],[Base]] &amp; "D50",
_xlpm.calccell, KeyTable[[#This Row],[Base]] &amp; "D5",
_xlpm.calckey, KeyTable[[#This Row],[Base]] &amp; "D15",
_xlpm.calcval, KeyTable[[#This Row],[Base]] &amp; "D25",
_xlpm.deaccell, KeyTable[[#This Row],[Base]],
_xlpm.cval, KeyTable[[#This Row],[Base]],
_xlpm.cdat, KeyTable[[#This Row],[Base]],
_xlpm.cchd, KeyTable[[#This Row],[Base]] &amp; "L35",
_xlpm.chky, KeyTable[[#This Row],[Base]] &amp; "D50",
_xlpm.ched, KeyTable[[#This Row],[Base]] &amp; "D25",
_xlpm.ckey, KeyTable[[#This Row],[Base]] &amp; "L40",
_xlpm.cell, KeyTable[[#This Row],[Base]] &amp; "L60",
_xlpm.cact, KeyTable[[#This Row],[Base]],
TRUE, ""))</f>
        <v>A6</v>
      </c>
      <c r="K47" s="13" t="s">
        <v>121</v>
      </c>
      <c r="L47" s="14" t="s">
        <v>113</v>
      </c>
    </row>
    <row r="49" spans="1:11" x14ac:dyDescent="0.2">
      <c r="B49" s="75" t="s">
        <v>30</v>
      </c>
      <c r="C49" s="76"/>
      <c r="D49" s="76"/>
      <c r="E49" s="77"/>
    </row>
    <row r="50" spans="1:11" x14ac:dyDescent="0.2">
      <c r="A50" s="8"/>
      <c r="B50" s="39" t="s">
        <v>68</v>
      </c>
      <c r="C50" s="36" t="s">
        <v>69</v>
      </c>
      <c r="D50" s="45" t="s">
        <v>151</v>
      </c>
      <c r="E50" s="29" t="s">
        <v>31</v>
      </c>
    </row>
    <row r="51" spans="1:11" x14ac:dyDescent="0.2">
      <c r="B51" s="37" t="s">
        <v>65</v>
      </c>
      <c r="C51" s="33" t="s">
        <v>66</v>
      </c>
      <c r="D51" s="46" t="s">
        <v>152</v>
      </c>
      <c r="E51" s="30" t="s">
        <v>67</v>
      </c>
    </row>
    <row r="52" spans="1:11" x14ac:dyDescent="0.2">
      <c r="A52" s="2"/>
      <c r="B52" s="37" t="s">
        <v>89</v>
      </c>
      <c r="C52" s="34" t="s">
        <v>32</v>
      </c>
      <c r="D52" s="47" t="s">
        <v>153</v>
      </c>
      <c r="E52" s="31" t="s">
        <v>80</v>
      </c>
      <c r="F52" s="2"/>
      <c r="G52" s="2"/>
      <c r="J52" s="2"/>
      <c r="K52" s="2"/>
    </row>
    <row r="53" spans="1:11" x14ac:dyDescent="0.2">
      <c r="A53" s="2"/>
      <c r="B53" s="38" t="s">
        <v>90</v>
      </c>
      <c r="C53" s="35" t="s">
        <v>90</v>
      </c>
      <c r="D53" s="48" t="s">
        <v>90</v>
      </c>
      <c r="E53" s="32" t="s">
        <v>70</v>
      </c>
      <c r="F53" s="2"/>
      <c r="G53" s="2"/>
      <c r="J53" s="2"/>
      <c r="K53" s="2"/>
    </row>
    <row r="54" spans="1:11" x14ac:dyDescent="0.2">
      <c r="E54"/>
    </row>
    <row r="55" spans="1:11" x14ac:dyDescent="0.2">
      <c r="B55" t="s">
        <v>64</v>
      </c>
      <c r="C55" t="s">
        <v>34</v>
      </c>
      <c r="D55" t="s">
        <v>35</v>
      </c>
      <c r="E55"/>
    </row>
    <row r="56" spans="1:11" x14ac:dyDescent="0.2">
      <c r="B56" t="s">
        <v>71</v>
      </c>
      <c r="C56" t="s">
        <v>73</v>
      </c>
      <c r="D56" t="str">
        <f>RIGHT(InputSampleTable[[#This Row],[InputColumn2]],5)</f>
        <v>Value</v>
      </c>
      <c r="E56"/>
    </row>
    <row r="57" spans="1:11" x14ac:dyDescent="0.2">
      <c r="B57" t="s">
        <v>72</v>
      </c>
      <c r="D57" t="str">
        <f>RIGHT(InputSampleTable[[#This Row],[InputColumn2]],5)</f>
        <v/>
      </c>
      <c r="E57"/>
    </row>
    <row r="58" spans="1:11" x14ac:dyDescent="0.2">
      <c r="B58" t="s">
        <v>81</v>
      </c>
      <c r="D58" t="str">
        <f>COUNTIF(InputSampleTable[CalcColumn3], "Value") &amp; " Value in Column"</f>
        <v>1 Value in Column</v>
      </c>
      <c r="E58"/>
    </row>
    <row r="59" spans="1:11" x14ac:dyDescent="0.2">
      <c r="E59"/>
    </row>
    <row r="60" spans="1:11" x14ac:dyDescent="0.2">
      <c r="B60" t="s">
        <v>33</v>
      </c>
      <c r="C60" t="s">
        <v>36</v>
      </c>
      <c r="D60" t="s">
        <v>35</v>
      </c>
      <c r="E60"/>
    </row>
    <row r="61" spans="1:11" x14ac:dyDescent="0.2">
      <c r="B61" t="s">
        <v>74</v>
      </c>
      <c r="D61">
        <f t="shared" ref="D61:D62" si="0">1 /  VALUE(LEFT($C$63,1))</f>
        <v>0.5</v>
      </c>
      <c r="E61"/>
    </row>
    <row r="62" spans="1:11" x14ac:dyDescent="0.2">
      <c r="B62" t="s">
        <v>75</v>
      </c>
      <c r="D62">
        <f t="shared" si="0"/>
        <v>0.5</v>
      </c>
      <c r="E62"/>
    </row>
    <row r="63" spans="1:11" x14ac:dyDescent="0.2">
      <c r="B63" t="s">
        <v>81</v>
      </c>
      <c r="C63" t="str">
        <f>COUNTIF(IntSampleTable[Internal2],"")    &amp;     " Blank Cells"</f>
        <v>2 Blank Cells</v>
      </c>
      <c r="D63" t="str">
        <f>"Total: "&amp; SUBTOTAL(109,IntSampleTable[CalcColumn3])*100 &amp;"%"</f>
        <v>Total: 100%</v>
      </c>
      <c r="E63"/>
    </row>
    <row r="65" spans="2:5" x14ac:dyDescent="0.2">
      <c r="B65" t="s">
        <v>85</v>
      </c>
      <c r="C65" t="s">
        <v>37</v>
      </c>
      <c r="D65" t="s">
        <v>35</v>
      </c>
    </row>
    <row r="66" spans="2:5" x14ac:dyDescent="0.2">
      <c r="B66" t="s">
        <v>76</v>
      </c>
      <c r="C66" t="s">
        <v>78</v>
      </c>
      <c r="D66" t="b">
        <f>QuerySampleTable[[#This Row],[QueryColumn2]]  = "Query Value"</f>
        <v>1</v>
      </c>
    </row>
    <row r="67" spans="2:5" x14ac:dyDescent="0.2">
      <c r="B67" t="s">
        <v>77</v>
      </c>
      <c r="C67" t="s">
        <v>79</v>
      </c>
      <c r="D67" t="b">
        <f>QuerySampleTable[[#This Row],[QueryColumn2]]  = "Query Value"</f>
        <v>0</v>
      </c>
      <c r="E67" s="6"/>
    </row>
    <row r="68" spans="2:5" x14ac:dyDescent="0.2">
      <c r="B68" t="s">
        <v>81</v>
      </c>
      <c r="C68" t="str">
        <f>COUNTIF(QuerySampleTable[QueryColumn2],"* Error")&amp;" Error in Col"</f>
        <v>1 Error in Col</v>
      </c>
      <c r="D68" t="str">
        <f>IF(_xlfn.XMATCH(FALSE, QuerySampleTable[CalcColumn3],0,1) &gt; 0,  "&gt;0  Falses in Column", "Column Good")</f>
        <v>&gt;0  Falses in Column</v>
      </c>
      <c r="E68" s="6"/>
    </row>
  </sheetData>
  <dataConsolidate/>
  <mergeCells count="3">
    <mergeCell ref="N1:Q1"/>
    <mergeCell ref="A1:L1"/>
    <mergeCell ref="B49:E49"/>
  </mergeCells>
  <phoneticPr fontId="20" type="noConversion"/>
  <conditionalFormatting sqref="O3:O9 O11:O21">
    <cfRule type="expression" dxfId="10" priority="9">
      <formula>O3="BadValue"</formula>
    </cfRule>
  </conditionalFormatting>
  <conditionalFormatting sqref="Q3:Q21">
    <cfRule type="expression" dxfId="9" priority="8">
      <formula>$O3="BadValue"</formula>
    </cfRule>
  </conditionalFormatting>
  <conditionalFormatting sqref="O2">
    <cfRule type="expression" dxfId="8" priority="6">
      <formula>_xlfn.XMATCH("BadValue", $O$3:$O$21, 0, 1) &gt; 0</formula>
    </cfRule>
  </conditionalFormatting>
  <conditionalFormatting sqref="P3:P21">
    <cfRule type="expression" dxfId="7" priority="4">
      <formula>NOT($S$17)</formula>
    </cfRule>
  </conditionalFormatting>
  <conditionalFormatting sqref="P2">
    <cfRule type="expression" dxfId="6" priority="3">
      <formula>NOT($S$17)</formula>
    </cfRule>
  </conditionalFormatting>
  <conditionalFormatting sqref="N3:N21">
    <cfRule type="expression" dxfId="5" priority="2">
      <formula>ISBLANK(N3)</formula>
    </cfRule>
  </conditionalFormatting>
  <conditionalFormatting sqref="C66:C67">
    <cfRule type="expression" dxfId="4" priority="1">
      <formula>C66="Query Error"</formula>
    </cfRule>
  </conditionalFormatting>
  <dataValidations disablePrompts="1" count="1">
    <dataValidation type="list" allowBlank="1" showInputMessage="1" showErrorMessage="1" sqref="N3:N21 S17" xr:uid="{F3E6DA43-15B6-444A-ADB1-B2D9B95B90E8}">
      <formula1>BoolName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0E59-84AE-40A8-B4F3-000113DE30EE}">
  <sheetPr codeName="ListSheet">
    <tabColor rgb="FFC00000"/>
  </sheetPr>
  <dimension ref="A1:G6"/>
  <sheetViews>
    <sheetView zoomScale="145" zoomScaleNormal="145" workbookViewId="0">
      <selection activeCell="E8" sqref="E8"/>
    </sheetView>
  </sheetViews>
  <sheetFormatPr defaultRowHeight="13.6" x14ac:dyDescent="0.2"/>
  <cols>
    <col min="1" max="1" width="6.33203125" bestFit="1" customWidth="1"/>
    <col min="2" max="2" width="6.33203125" style="4" customWidth="1"/>
    <col min="3" max="3" width="2.33203125" customWidth="1"/>
    <col min="4" max="4" width="5.33203125" bestFit="1" customWidth="1"/>
    <col min="5" max="5" width="6.33203125" bestFit="1" customWidth="1"/>
    <col min="6" max="6" width="3.6640625" bestFit="1" customWidth="1"/>
    <col min="7" max="7" width="3.21875" bestFit="1" customWidth="1"/>
  </cols>
  <sheetData>
    <row r="1" spans="1:7" x14ac:dyDescent="0.2">
      <c r="A1" s="5" t="s">
        <v>38</v>
      </c>
      <c r="B1" s="40" t="s">
        <v>138</v>
      </c>
      <c r="D1" s="78" t="s">
        <v>42</v>
      </c>
      <c r="E1" s="79"/>
      <c r="F1" s="75" t="s">
        <v>141</v>
      </c>
      <c r="G1" s="77"/>
    </row>
    <row r="2" spans="1:7" x14ac:dyDescent="0.2">
      <c r="A2" s="3" t="b">
        <v>1</v>
      </c>
      <c r="B2" s="6" t="s">
        <v>139</v>
      </c>
      <c r="D2" s="6" t="s">
        <v>39</v>
      </c>
      <c r="E2" s="6" t="s">
        <v>40</v>
      </c>
      <c r="F2" s="6" t="s">
        <v>39</v>
      </c>
      <c r="G2" s="6" t="s">
        <v>40</v>
      </c>
    </row>
    <row r="3" spans="1:7" x14ac:dyDescent="0.2">
      <c r="A3" s="3" t="b">
        <v>0</v>
      </c>
      <c r="B3" s="6" t="s">
        <v>140</v>
      </c>
      <c r="D3" s="6" t="b" cm="1">
        <f t="array" aca="1" ref="D3" ca="1">OFFSET( BoolName, 0, 0, 1, 1)</f>
        <v>1</v>
      </c>
      <c r="E3" s="6" t="b" cm="1">
        <f t="array" aca="1" ref="E3" ca="1">OFFSET( BoolName, 1, 0, 1, 1)</f>
        <v>0</v>
      </c>
      <c r="F3" s="6" t="str">
        <f ca="1">OFFSET( YNTable[], 0, 0, 1, 1)</f>
        <v>Yes</v>
      </c>
      <c r="G3" s="6" t="str">
        <f ca="1">OFFSET( YNTable[], 1, 0, 1, 1)</f>
        <v>No</v>
      </c>
    </row>
    <row r="5" spans="1:7" x14ac:dyDescent="0.2">
      <c r="A5" s="5" t="s">
        <v>43</v>
      </c>
      <c r="B5"/>
    </row>
    <row r="6" spans="1:7" x14ac:dyDescent="0.2">
      <c r="A6" s="6" t="s">
        <v>45</v>
      </c>
    </row>
  </sheetData>
  <mergeCells count="2">
    <mergeCell ref="D1:E1"/>
    <mergeCell ref="F1:G1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931D-05DD-4654-9CC3-B6FD5885F58C}">
  <sheetPr codeName="Sheet1"/>
  <dimension ref="A1"/>
  <sheetViews>
    <sheetView zoomScale="130" zoomScaleNormal="130" workbookViewId="0"/>
  </sheetViews>
  <sheetFormatPr defaultRowHeight="13.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9DD30-A985-4CF7-A223-837276AA48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Key</vt:lpstr>
      <vt:lpstr>List</vt:lpstr>
      <vt:lpstr>Sheet1</vt:lpstr>
      <vt:lpstr>BoolName</vt:lpstr>
      <vt:lpstr>BoolNo</vt:lpstr>
      <vt:lpstr>BoolYes</vt:lpstr>
      <vt:lpstr>CellTypeName</vt:lpstr>
      <vt:lpstr>LNF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2021-01-25T07:04:48Z</dcterms:created>
  <dcterms:modified xsi:type="dcterms:W3CDTF">2021-05-13T21:12:22Z</dcterms:modified>
</cp:coreProperties>
</file>