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Projects\OfficeLib\Excel\"/>
    </mc:Choice>
  </mc:AlternateContent>
  <xr:revisionPtr revIDLastSave="0" documentId="13_ncr:1_{768C3A2E-DCE5-4BD4-A139-385772B210EF}" xr6:coauthVersionLast="47" xr6:coauthVersionMax="47" xr10:uidLastSave="{00000000-0000-0000-0000-000000000000}"/>
  <bookViews>
    <workbookView xWindow="-108" yWindow="-108" windowWidth="23256" windowHeight="12696" activeTab="1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ErrDiv">List!$B$14</definedName>
    <definedName name="ErrNA">NA()</definedName>
    <definedName name="ErrName">List!$B$12</definedName>
    <definedName name="ErrNum">List!$B$11</definedName>
    <definedName name="ErrSpill">List!$B$13</definedName>
    <definedName name="ErrStyle">List!$B$15</definedName>
    <definedName name="ErrValue">List!$B$9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 a="1"/>
  <c r="B13" i="1" s="1"/>
  <c r="B12" i="1" a="1"/>
  <c r="B12" i="1" s="1"/>
  <c r="B11" i="1"/>
  <c r="B9" i="1"/>
  <c r="B10" i="1" a="1"/>
  <c r="B10" i="1" s="1"/>
  <c r="F78" i="2"/>
  <c r="F79" i="2"/>
  <c r="F80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I3" i="2" l="1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H4" i="1"/>
  <c r="G4" i="1"/>
  <c r="F4" i="1" a="1"/>
  <c r="F4" i="1" s="1"/>
  <c r="E4" i="1" a="1"/>
  <c r="E4" i="1" s="1"/>
  <c r="F74" i="2"/>
  <c r="G73" i="2"/>
  <c r="G72" i="2"/>
  <c r="F68" i="2"/>
  <c r="G67" i="2" s="1"/>
  <c r="G61" i="2"/>
  <c r="G60" i="2"/>
  <c r="R50" i="2" a="1"/>
  <c r="R50" i="2" s="1"/>
  <c r="Q50" i="2" a="1"/>
  <c r="Q50" i="2" s="1"/>
  <c r="P50" i="2" a="1"/>
  <c r="P50" i="2" s="1"/>
  <c r="R49" i="2" a="1"/>
  <c r="R49" i="2" s="1"/>
  <c r="Q49" i="2" a="1"/>
  <c r="Q49" i="2" s="1"/>
  <c r="P49" i="2" a="1"/>
  <c r="P49" i="2" s="1"/>
  <c r="R48" i="2" a="1"/>
  <c r="R48" i="2" s="1"/>
  <c r="Q48" i="2" a="1"/>
  <c r="Q48" i="2" s="1"/>
  <c r="P48" i="2" a="1"/>
  <c r="P48" i="2" s="1"/>
  <c r="R47" i="2" a="1"/>
  <c r="R47" i="2" s="1"/>
  <c r="Q47" i="2" a="1"/>
  <c r="Q47" i="2" s="1"/>
  <c r="P47" i="2" a="1"/>
  <c r="P47" i="2" s="1"/>
  <c r="R46" i="2" a="1"/>
  <c r="R46" i="2" s="1"/>
  <c r="Q46" i="2" a="1"/>
  <c r="Q46" i="2" s="1"/>
  <c r="P46" i="2" a="1"/>
  <c r="P46" i="2" s="1"/>
  <c r="R45" i="2" a="1"/>
  <c r="R45" i="2" s="1"/>
  <c r="Q45" i="2" a="1"/>
  <c r="Q45" i="2" s="1"/>
  <c r="P45" i="2" a="1"/>
  <c r="P45" i="2" s="1"/>
  <c r="R44" i="2" a="1"/>
  <c r="R44" i="2" s="1"/>
  <c r="Q44" i="2" a="1"/>
  <c r="Q44" i="2" s="1"/>
  <c r="P44" i="2" a="1"/>
  <c r="P44" i="2" s="1"/>
  <c r="R43" i="2" a="1"/>
  <c r="R43" i="2" s="1"/>
  <c r="Q43" i="2" a="1"/>
  <c r="Q43" i="2" s="1"/>
  <c r="P43" i="2" a="1"/>
  <c r="P43" i="2" s="1"/>
  <c r="R42" i="2" a="1"/>
  <c r="R42" i="2" s="1"/>
  <c r="Q42" i="2" a="1"/>
  <c r="Q42" i="2" s="1"/>
  <c r="P42" i="2" a="1"/>
  <c r="P42" i="2" s="1"/>
  <c r="R41" i="2" a="1"/>
  <c r="R41" i="2" s="1"/>
  <c r="Q41" i="2" a="1"/>
  <c r="Q41" i="2" s="1"/>
  <c r="P41" i="2" a="1"/>
  <c r="P41" i="2" s="1"/>
  <c r="R40" i="2" a="1"/>
  <c r="R40" i="2" s="1"/>
  <c r="Q40" i="2" a="1"/>
  <c r="Q40" i="2" s="1"/>
  <c r="P40" i="2" a="1"/>
  <c r="P40" i="2" s="1"/>
  <c r="R39" i="2" a="1"/>
  <c r="R39" i="2" s="1"/>
  <c r="Q39" i="2" a="1"/>
  <c r="Q39" i="2" s="1"/>
  <c r="P39" i="2" a="1"/>
  <c r="P39" i="2" s="1"/>
  <c r="R38" i="2" a="1"/>
  <c r="R38" i="2" s="1"/>
  <c r="Q38" i="2" a="1"/>
  <c r="Q38" i="2" s="1"/>
  <c r="P38" i="2" a="1"/>
  <c r="P38" i="2" s="1"/>
  <c r="R37" i="2" a="1"/>
  <c r="R37" i="2" s="1"/>
  <c r="Q37" i="2" a="1"/>
  <c r="Q37" i="2" s="1"/>
  <c r="P37" i="2" a="1"/>
  <c r="P37" i="2" s="1"/>
  <c r="R36" i="2" a="1"/>
  <c r="R36" i="2" s="1"/>
  <c r="Q36" i="2" a="1"/>
  <c r="Q36" i="2" s="1"/>
  <c r="P36" i="2" a="1"/>
  <c r="P36" i="2" s="1"/>
  <c r="R35" i="2" a="1"/>
  <c r="R35" i="2" s="1"/>
  <c r="Q35" i="2" a="1"/>
  <c r="Q35" i="2" s="1"/>
  <c r="P35" i="2" a="1"/>
  <c r="P35" i="2" s="1"/>
  <c r="R34" i="2" a="1"/>
  <c r="R34" i="2" s="1"/>
  <c r="Q34" i="2" a="1"/>
  <c r="Q34" i="2" s="1"/>
  <c r="P34" i="2" a="1"/>
  <c r="P34" i="2" s="1"/>
  <c r="R33" i="2" a="1"/>
  <c r="R33" i="2" s="1"/>
  <c r="Q33" i="2" a="1"/>
  <c r="Q33" i="2" s="1"/>
  <c r="P33" i="2" a="1"/>
  <c r="P33" i="2" s="1"/>
  <c r="R32" i="2" a="1"/>
  <c r="R32" i="2" s="1"/>
  <c r="Q32" i="2" a="1"/>
  <c r="Q32" i="2" s="1"/>
  <c r="P32" i="2" a="1"/>
  <c r="P32" i="2" s="1"/>
  <c r="R31" i="2" a="1"/>
  <c r="R31" i="2" s="1"/>
  <c r="Q31" i="2" a="1"/>
  <c r="Q31" i="2" s="1"/>
  <c r="P31" i="2" a="1"/>
  <c r="P31" i="2" s="1"/>
  <c r="R30" i="2" a="1"/>
  <c r="R30" i="2" s="1"/>
  <c r="Q30" i="2" a="1"/>
  <c r="Q30" i="2" s="1"/>
  <c r="P30" i="2" a="1"/>
  <c r="P30" i="2" s="1"/>
  <c r="R29" i="2" a="1"/>
  <c r="R29" i="2" s="1"/>
  <c r="Q29" i="2" a="1"/>
  <c r="Q29" i="2" s="1"/>
  <c r="P29" i="2" a="1"/>
  <c r="P29" i="2" s="1"/>
  <c r="R28" i="2" a="1"/>
  <c r="R28" i="2" s="1"/>
  <c r="Q28" i="2" a="1"/>
  <c r="Q28" i="2" s="1"/>
  <c r="P28" i="2" a="1"/>
  <c r="P28" i="2" s="1"/>
  <c r="R27" i="2" a="1"/>
  <c r="R27" i="2" s="1"/>
  <c r="Q27" i="2" a="1"/>
  <c r="Q27" i="2" s="1"/>
  <c r="P27" i="2" a="1"/>
  <c r="P27" i="2" s="1"/>
  <c r="R26" i="2" a="1"/>
  <c r="R26" i="2" s="1"/>
  <c r="Q26" i="2" a="1"/>
  <c r="Q26" i="2" s="1"/>
  <c r="P26" i="2" a="1"/>
  <c r="P26" i="2" s="1"/>
  <c r="R25" i="2" a="1"/>
  <c r="R25" i="2" s="1"/>
  <c r="Q25" i="2" a="1"/>
  <c r="Q25" i="2" s="1"/>
  <c r="P25" i="2" a="1"/>
  <c r="P25" i="2" s="1"/>
  <c r="R24" i="2" a="1"/>
  <c r="R24" i="2" s="1"/>
  <c r="Q24" i="2" a="1"/>
  <c r="Q24" i="2" s="1"/>
  <c r="P24" i="2" a="1"/>
  <c r="P24" i="2" s="1"/>
  <c r="R23" i="2" a="1"/>
  <c r="R23" i="2" s="1"/>
  <c r="Q23" i="2" a="1"/>
  <c r="Q23" i="2" s="1"/>
  <c r="P23" i="2" a="1"/>
  <c r="P23" i="2" s="1"/>
  <c r="R22" i="2" a="1"/>
  <c r="R22" i="2" s="1"/>
  <c r="Q22" i="2" a="1"/>
  <c r="Q22" i="2" s="1"/>
  <c r="P22" i="2" a="1"/>
  <c r="P22" i="2" s="1"/>
  <c r="R21" i="2" a="1"/>
  <c r="R21" i="2" s="1"/>
  <c r="Q21" i="2" a="1"/>
  <c r="Q21" i="2" s="1"/>
  <c r="P21" i="2" a="1"/>
  <c r="P21" i="2" s="1"/>
  <c r="R20" i="2" a="1"/>
  <c r="R20" i="2" s="1"/>
  <c r="Q20" i="2" a="1"/>
  <c r="Q20" i="2" s="1"/>
  <c r="P20" i="2" a="1"/>
  <c r="P20" i="2" s="1"/>
  <c r="R19" i="2" a="1"/>
  <c r="R19" i="2" s="1"/>
  <c r="Q19" i="2" a="1"/>
  <c r="Q19" i="2" s="1"/>
  <c r="P19" i="2" a="1"/>
  <c r="P19" i="2" s="1"/>
  <c r="R18" i="2" a="1"/>
  <c r="R18" i="2" s="1"/>
  <c r="Q18" i="2" a="1"/>
  <c r="Q18" i="2" s="1"/>
  <c r="P18" i="2" a="1"/>
  <c r="P18" i="2" s="1"/>
  <c r="R17" i="2" a="1"/>
  <c r="R17" i="2" s="1"/>
  <c r="Q17" i="2" a="1"/>
  <c r="Q17" i="2" s="1"/>
  <c r="P17" i="2" a="1"/>
  <c r="P17" i="2" s="1"/>
  <c r="R16" i="2" a="1"/>
  <c r="R16" i="2" s="1"/>
  <c r="Q16" i="2" a="1"/>
  <c r="Q16" i="2" s="1"/>
  <c r="P16" i="2" a="1"/>
  <c r="P16" i="2" s="1"/>
  <c r="R15" i="2" a="1"/>
  <c r="R15" i="2" s="1"/>
  <c r="Q15" i="2" a="1"/>
  <c r="Q15" i="2" s="1"/>
  <c r="P15" i="2" a="1"/>
  <c r="P15" i="2" s="1"/>
  <c r="R14" i="2" a="1"/>
  <c r="R14" i="2" s="1"/>
  <c r="Q14" i="2" a="1"/>
  <c r="Q14" i="2" s="1"/>
  <c r="P14" i="2" a="1"/>
  <c r="P14" i="2" s="1"/>
  <c r="R13" i="2" a="1"/>
  <c r="R13" i="2" s="1"/>
  <c r="Q13" i="2" a="1"/>
  <c r="Q13" i="2" s="1"/>
  <c r="P13" i="2" a="1"/>
  <c r="P13" i="2" s="1"/>
  <c r="R12" i="2" a="1"/>
  <c r="R12" i="2" s="1"/>
  <c r="Q12" i="2" a="1"/>
  <c r="Q12" i="2" s="1"/>
  <c r="P12" i="2" a="1"/>
  <c r="P12" i="2" s="1"/>
  <c r="R11" i="2" a="1"/>
  <c r="R11" i="2" s="1"/>
  <c r="Q11" i="2" a="1"/>
  <c r="Q11" i="2" s="1"/>
  <c r="P11" i="2" a="1"/>
  <c r="P11" i="2" s="1"/>
  <c r="R10" i="2" a="1"/>
  <c r="R10" i="2" s="1"/>
  <c r="Q10" i="2" a="1"/>
  <c r="Q10" i="2" s="1"/>
  <c r="P10" i="2" a="1"/>
  <c r="P10" i="2" s="1"/>
  <c r="R9" i="2" a="1"/>
  <c r="R9" i="2" s="1"/>
  <c r="Q9" i="2" a="1"/>
  <c r="Q9" i="2" s="1"/>
  <c r="P9" i="2" a="1"/>
  <c r="P9" i="2" s="1"/>
  <c r="R8" i="2" a="1"/>
  <c r="R8" i="2" s="1"/>
  <c r="Q8" i="2" a="1"/>
  <c r="Q8" i="2" s="1"/>
  <c r="P8" i="2" a="1"/>
  <c r="P8" i="2" s="1"/>
  <c r="R7" i="2" a="1"/>
  <c r="R7" i="2" s="1"/>
  <c r="Q7" i="2" a="1"/>
  <c r="Q7" i="2" s="1"/>
  <c r="P7" i="2" a="1"/>
  <c r="P7" i="2" s="1"/>
  <c r="R6" i="2" a="1"/>
  <c r="R6" i="2" s="1"/>
  <c r="Q6" i="2" a="1"/>
  <c r="Q6" i="2" s="1"/>
  <c r="P6" i="2" a="1"/>
  <c r="P6" i="2" s="1"/>
  <c r="R5" i="2" a="1"/>
  <c r="R5" i="2" s="1"/>
  <c r="Q5" i="2" a="1"/>
  <c r="Q5" i="2" s="1"/>
  <c r="P5" i="2" a="1"/>
  <c r="P5" i="2" s="1"/>
  <c r="R4" i="2" a="1"/>
  <c r="R4" i="2" s="1"/>
  <c r="Q4" i="2" a="1"/>
  <c r="Q4" i="2" s="1"/>
  <c r="P4" i="2" a="1"/>
  <c r="P4" i="2" s="1"/>
  <c r="R3" i="2" a="1"/>
  <c r="R3" i="2" s="1"/>
  <c r="Q3" i="2" a="1"/>
  <c r="Q3" i="2" s="1"/>
  <c r="P3" i="2" a="1"/>
  <c r="P3" i="2" s="1"/>
  <c r="G62" i="2" l="1"/>
  <c r="G74" i="2"/>
  <c r="G66" i="2"/>
  <c r="G68" i="2" s="1"/>
  <c r="W19" i="2" a="1"/>
  <c r="W19" i="2" s="1"/>
  <c r="W10" i="2" a="1"/>
  <c r="W10" i="2" s="1"/>
  <c r="W17" i="2" a="1"/>
  <c r="W17" i="2" s="1"/>
  <c r="W16" i="2" a="1"/>
  <c r="W16" i="2" s="1"/>
  <c r="W7" i="2" a="1"/>
  <c r="W7" i="2" s="1"/>
  <c r="W14" i="2" a="1"/>
  <c r="W14" i="2" s="1"/>
  <c r="W6" i="2" a="1"/>
  <c r="W6" i="2" s="1"/>
  <c r="W3" i="2" a="1"/>
  <c r="W3" i="2" s="1"/>
  <c r="W18" i="2" a="1"/>
  <c r="W18" i="2" s="1"/>
  <c r="W9" i="2" a="1"/>
  <c r="W9" i="2" s="1"/>
  <c r="W8" i="2" a="1"/>
  <c r="W8" i="2" s="1"/>
  <c r="W15" i="2" a="1"/>
  <c r="W15" i="2" s="1"/>
  <c r="W5" i="2" a="1"/>
  <c r="W5" i="2" s="1"/>
  <c r="W13" i="2" a="1"/>
  <c r="W13" i="2" s="1"/>
  <c r="W21" i="2" a="1"/>
  <c r="W21" i="2" s="1"/>
  <c r="W11" i="2" a="1"/>
  <c r="W11" i="2" s="1"/>
  <c r="W12" i="2" a="1"/>
  <c r="W12" i="2" s="1"/>
  <c r="W4" i="2" a="1"/>
  <c r="W4" i="2" s="1"/>
  <c r="W20" i="2" a="1"/>
  <c r="W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<sst xmlns="http://schemas.openxmlformats.org/spreadsheetml/2006/main" count="611" uniqueCount="261">
  <si>
    <t>Boolean Values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</si>
  <si>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</si>
  <si>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</si>
  <si>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</si>
  <si>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</si>
  <si>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</si>
  <si>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</si>
  <si>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</si>
  <si>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</si>
  <si>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</si>
  <si>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</si>
  <si>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</si>
  <si>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</si>
  <si>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</si>
  <si>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</si>
  <si>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</si>
  <si>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</si>
  <si>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</si>
  <si>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</si>
  <si>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</si>
  <si>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</si>
  <si>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</si>
  <si>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</si>
  <si>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</si>
  <si>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</si>
  <si>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</si>
  <si>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</si>
  <si>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</si>
  <si>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</si>
  <si>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</si>
  <si>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</si>
  <si>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</si>
  <si>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</si>
  <si>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</si>
  <si>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</si>
  <si>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</si>
  <si>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</si>
  <si>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</si>
  <si>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</si>
  <si>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</si>
  <si>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</si>
  <si>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</si>
  <si>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</si>
  <si>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</si>
  <si>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</si>
  <si>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</si>
  <si>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</si>
  <si>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</si>
  <si>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</si>
  <si>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</si>
  <si>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</si>
  <si>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</si>
  <si>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</si>
  <si>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</si>
  <si>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</si>
  <si>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</si>
  <si>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</si>
  <si>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</si>
  <si>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</si>
  <si>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</si>
  <si>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</si>
  <si>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</si>
  <si>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</si>
  <si>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</si>
  <si>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</si>
  <si>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</si>
  <si>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</si>
  <si>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</si>
  <si>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</si>
  <si>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</si>
  <si>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</si>
  <si>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</si>
  <si>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</si>
  <si>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</si>
  <si>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</si>
  <si>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</si>
  <si>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</si>
  <si>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</si>
  <si>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</si>
  <si>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</si>
  <si>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</si>
  <si>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</si>
  <si>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</si>
  <si>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</si>
  <si>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</si>
  <si>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</si>
  <si>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</si>
  <si>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</si>
  <si>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</si>
  <si>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</si>
  <si>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</si>
  <si>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</si>
  <si>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</si>
  <si>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</si>
  <si>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</si>
  <si>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</si>
  <si>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</si>
  <si>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</si>
  <si>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</si>
  <si>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</si>
  <si>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</si>
  <si>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</si>
  <si>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</si>
  <si>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</si>
  <si>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</si>
  <si>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</si>
  <si>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</si>
  <si>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</si>
  <si>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</si>
  <si>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</si>
  <si>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</si>
  <si>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</si>
  <si>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</si>
  <si>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</si>
  <si>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</si>
  <si>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</si>
  <si>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</si>
  <si>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</si>
  <si>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</si>
  <si>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</si>
  <si>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</si>
  <si>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</si>
  <si>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</si>
  <si>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</si>
  <si>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</si>
  <si>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</si>
  <si>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</si>
  <si>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</si>
  <si>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</si>
  <si>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</si>
  <si>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</si>
  <si>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</si>
  <si>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</si>
  <si>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</si>
  <si>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</si>
  <si>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</si>
  <si>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</si>
  <si>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</si>
  <si>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</si>
  <si>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</si>
  <si>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</si>
  <si>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</si>
  <si>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</si>
  <si>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</si>
  <si>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</si>
  <si>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</si>
  <si>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</si>
  <si>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</si>
  <si>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</si>
  <si>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</si>
  <si>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</si>
  <si>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</si>
  <si>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</si>
  <si>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</si>
  <si>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</si>
  <si>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</si>
  <si>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</si>
  <si>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</si>
  <si>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</si>
  <si>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</si>
  <si>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</si>
  <si>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</si>
  <si>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</si>
  <si>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</si>
  <si>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</si>
  <si>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</si>
  <si>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</si>
  <si>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</si>
  <si>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</si>
  <si>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</si>
  <si>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</si>
  <si>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</si>
  <si>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</si>
  <si>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</si>
  <si>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</si>
  <si>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</si>
  <si>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</si>
  <si>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</si>
  <si>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</si>
  <si>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</si>
  <si>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</si>
  <si>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</si>
  <si>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</si>
  <si>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</si>
  <si>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</si>
  <si>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</si>
  <si>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</si>
  <si>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</si>
  <si>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</si>
  <si>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</si>
  <si>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</si>
  <si>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</si>
  <si>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</si>
  <si>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</si>
  <si>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</si>
  <si>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</si>
  <si>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</si>
  <si>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</si>
  <si>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</si>
  <si>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</si>
  <si>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</si>
  <si>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</si>
  <si>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</si>
  <si>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</si>
  <si>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</si>
  <si>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</si>
  <si>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</t>
  </si>
  <si>
    <t>Num</t>
  </si>
  <si>
    <t>OCR A Extended 11pt</t>
  </si>
  <si>
    <t>Name</t>
  </si>
  <si>
    <t>Spill</t>
  </si>
  <si>
    <t>Div/0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</si>
  <si>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</si>
  <si>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</si>
  <si>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</si>
  <si>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</si>
  <si>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</si>
  <si>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</si>
  <si>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</si>
  <si>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</si>
  <si>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</si>
  <si>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</si>
  <si>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</si>
  <si>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</si>
  <si>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</si>
  <si>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</si>
  <si>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</si>
  <si>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</si>
  <si>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</si>
  <si>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</si>
  <si>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</si>
  <si>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</si>
  <si>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</si>
  <si>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</si>
  <si>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</si>
  <si>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</si>
  <si>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</si>
  <si>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</si>
  <si>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</si>
  <si>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</si>
  <si>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</si>
  <si>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</si>
  <si>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</si>
  <si>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</si>
  <si>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</si>
  <si>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</si>
  <si>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</si>
  <si>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</si>
  <si>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Column4</t>
  </si>
  <si>
    <t>Column5</t>
  </si>
  <si>
    <t>#STYLE!</t>
  </si>
  <si>
    <t>Style</t>
  </si>
  <si>
    <t>ErrStyle</t>
  </si>
  <si>
    <t>ErrDiv</t>
  </si>
  <si>
    <t>ErrSpill</t>
  </si>
  <si>
    <t>ErrName</t>
  </si>
  <si>
    <t>ErrNum</t>
  </si>
  <si>
    <t>ErrValue</t>
  </si>
  <si>
    <t>ErrNa</t>
  </si>
  <si>
    <t>TableTypeTable</t>
  </si>
  <si>
    <t>SizeOverrideTable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</si>
</sst>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8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43" fillId="49" borderId="10" xfId="61" applyNumberFormat="1" applyAlignment="1">
      <alignment horizontal="left" vertical="center"/>
    </xf>
    <xf numFmtId="0" fontId="28" fillId="47" borderId="10" xfId="58" applyAlignment="1">
      <alignment horizontal="left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21" fillId="62" borderId="10" xfId="77" applyNumberFormat="1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21" fillId="69" borderId="10" xfId="88" applyNumberFormat="1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21" fillId="40" borderId="10" xfId="83"/>
    <xf numFmtId="49" fontId="18" fillId="34" borderId="10" xfId="48"/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0" fontId="30" fillId="52" borderId="10" xfId="64" applyNumberFormat="1"/>
    <xf numFmtId="0" fontId="29" fillId="53" borderId="10" xfId="65" applyNumberFormat="1"/>
    <xf numFmtId="0" fontId="42" fillId="54" borderId="10" xfId="66" applyNumberFormat="1"/>
    <xf numFmtId="0" fontId="31" fillId="56" borderId="10" xfId="69" applyNumberFormat="1"/>
    <xf numFmtId="0" fontId="32" fillId="51" borderId="10" xfId="68" applyNumberFormat="1"/>
    <xf numFmtId="0" fontId="31" fillId="55" borderId="10" xfId="67" applyNumberFormat="1"/>
    <xf numFmtId="0" fontId="23" fillId="42" borderId="10" xfId="53" applyNumberFormat="1"/>
    <xf numFmtId="0" fontId="39" fillId="33" borderId="10" xfId="47" applyNumberFormat="1" applyFont="1" applyAlignment="1">
      <alignment horizontal="left"/>
    </xf>
    <xf numFmtId="0" fontId="19" fillId="33" borderId="10" xfId="59" applyNumberFormat="1" applyAlignment="1">
      <alignment vertical="center"/>
    </xf>
    <xf numFmtId="0" fontId="28" fillId="48" borderId="10" xfId="60" applyNumberFormat="1" applyAlignment="1">
      <alignment vertical="center"/>
    </xf>
    <xf numFmtId="0" fontId="43" fillId="49" borderId="10" xfId="61" applyNumberFormat="1" applyAlignment="1"/>
    <xf numFmtId="0" fontId="28" fillId="47" borderId="10" xfId="58" applyNumberFormat="1" applyAlignment="1">
      <alignment horizontal="left" vertical="center"/>
    </xf>
    <xf numFmtId="0" fontId="22" fillId="41" borderId="10" xfId="52" applyNumberFormat="1" applyAlignment="1">
      <alignment horizontal="left" vertical="center"/>
    </xf>
    <xf numFmtId="0" fontId="36" fillId="65" borderId="10" xfId="80" applyNumberFormat="1"/>
    <xf numFmtId="0" fontId="36" fillId="64" borderId="10" xfId="79" applyNumberFormat="1"/>
    <xf numFmtId="0" fontId="33" fillId="59" borderId="10" xfId="72" applyNumberFormat="1"/>
    <xf numFmtId="0" fontId="33" fillId="58" borderId="10" xfId="71" applyNumberFormat="1"/>
    <xf numFmtId="0" fontId="21" fillId="60" borderId="10" xfId="73" applyNumberFormat="1"/>
    <xf numFmtId="0" fontId="41" fillId="61" borderId="10" xfId="74" applyNumberFormat="1"/>
    <xf numFmtId="0" fontId="21" fillId="57" borderId="10" xfId="70" applyNumberFormat="1"/>
    <xf numFmtId="0" fontId="24" fillId="43" borderId="10" xfId="54" applyNumberFormat="1"/>
    <xf numFmtId="0" fontId="20" fillId="36" borderId="10" xfId="50" applyNumberFormat="1"/>
    <xf numFmtId="0" fontId="20" fillId="71" borderId="10" xfId="90" applyNumberFormat="1"/>
    <xf numFmtId="0" fontId="21" fillId="37" borderId="10" xfId="51" applyNumberFormat="1"/>
    <xf numFmtId="0" fontId="41" fillId="70" borderId="10" xfId="89" applyNumberFormat="1" applyAlignment="1"/>
    <xf numFmtId="0" fontId="41" fillId="70" borderId="10" xfId="91" applyNumberFormat="1" applyAlignment="1"/>
    <xf numFmtId="0" fontId="38" fillId="74" borderId="10" xfId="94" applyNumberFormat="1"/>
    <xf numFmtId="0" fontId="38" fillId="73" borderId="10" xfId="93" applyNumberFormat="1"/>
    <xf numFmtId="0" fontId="21" fillId="75" borderId="10" xfId="95" applyNumberFormat="1"/>
    <xf numFmtId="0" fontId="41" fillId="76" borderId="10" xfId="96" applyNumberFormat="1"/>
    <xf numFmtId="0" fontId="21" fillId="72" borderId="10" xfId="92" applyNumberFormat="1"/>
    <xf numFmtId="0" fontId="26" fillId="45" borderId="10" xfId="56" applyNumberFormat="1"/>
    <xf numFmtId="0" fontId="37" fillId="38" borderId="10" xfId="85" applyNumberFormat="1"/>
    <xf numFmtId="0" fontId="37" fillId="67" borderId="10" xfId="84" applyNumberFormat="1"/>
    <xf numFmtId="0" fontId="21" fillId="39" borderId="10" xfId="86" applyNumberFormat="1"/>
    <xf numFmtId="0" fontId="41" fillId="68" borderId="10" xfId="87" applyNumberFormat="1"/>
    <xf numFmtId="0" fontId="21" fillId="40" borderId="10" xfId="83" applyNumberFormat="1"/>
    <xf numFmtId="0" fontId="18" fillId="34" borderId="10" xfId="48" applyNumberFormat="1"/>
    <xf numFmtId="0" fontId="21" fillId="66" borderId="10" xfId="81" applyNumberFormat="1" applyProtection="1"/>
    <xf numFmtId="0" fontId="41" fillId="63" borderId="10" xfId="78" applyNumberFormat="1" applyAlignment="1" applyProtection="1"/>
    <xf numFmtId="0" fontId="41" fillId="63" borderId="10" xfId="82" applyNumberFormat="1" applyAlignment="1" applyProtection="1"/>
    <xf numFmtId="0" fontId="21" fillId="62" borderId="10" xfId="77" applyNumberFormat="1" applyProtection="1"/>
    <xf numFmtId="0" fontId="27" fillId="46" borderId="10" xfId="57" applyNumberFormat="1" applyProtection="1"/>
    <xf numFmtId="0" fontId="25" fillId="44" borderId="10" xfId="55" applyNumberFormat="1" applyProtection="1"/>
    <xf numFmtId="0" fontId="47" fillId="0" borderId="18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19" xfId="0" applyFont="1" applyBorder="1" applyAlignment="1">
      <alignment horizontal="center"/>
    </xf>
    <xf numFmtId="0" fontId="47" fillId="0" borderId="22" xfId="0" applyFont="1" applyBorder="1" applyAlignment="1">
      <alignment horizontal="center"/>
    </xf>
    <xf numFmtId="0" fontId="47" fillId="0" borderId="20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31" xfId="0" applyFont="1" applyBorder="1" applyAlignment="1">
      <alignment horizontal="center"/>
    </xf>
    <xf numFmtId="0" fontId="47" fillId="0" borderId="34" xfId="0" applyFont="1" applyBorder="1" applyAlignment="1">
      <alignment horizontal="center"/>
    </xf>
    <xf numFmtId="0" fontId="47" fillId="0" borderId="33" xfId="0" applyFont="1" applyBorder="1" applyAlignment="1">
      <alignment horizontal="center"/>
    </xf>
    <xf numFmtId="0" fontId="41" fillId="0" borderId="18" xfId="98" applyFont="1" applyFill="1" applyBorder="1" applyAlignment="1">
      <alignment horizontal="center"/>
    </xf>
    <xf numFmtId="0" fontId="47" fillId="0" borderId="35" xfId="0" applyFont="1" applyBorder="1" applyAlignment="1">
      <alignment horizontal="center"/>
    </xf>
    <xf numFmtId="0" fontId="21" fillId="62" borderId="10" xfId="77">
      <protection locked="0"/>
    </xf>
    <xf numFmtId="0" fontId="21" fillId="69" borderId="10" xfId="88"/>
    <xf numFmtId="0" fontId="21" fillId="40" borderId="10" xfId="83" quotePrefix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  <xf numFmtId="0" fontId="17" fillId="33" borderId="10" xfId="47" applyNumberForma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7" fillId="33" borderId="10" xfId="47" applyNumberFormat="1" applyAlignment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4"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/>
        <color theme="6" tint="-0.499984740745262"/>
      </font>
      <fill>
        <patternFill patternType="darkDown">
          <fgColor theme="6" tint="0.79998168889431442"/>
          <bgColor theme="6" tint="0.59996337778862885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HeaderCell" dxfId="118"/>
      <tableStyleElement type="firstTotalCell" dxfId="117"/>
    </tableStyle>
    <tableStyle name="CalculatedTable" pivot="0" count="7" xr9:uid="{2B9716CA-B174-45F3-AE10-F3E50D0CDD94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HeaderCell" dxfId="111"/>
      <tableStyleElement type="firstTotalCell" dxfId="110"/>
    </tableStyle>
    <tableStyle name="ErrorTable" pivot="0" count="7" xr9:uid="{50241DDC-9BFD-4907-A3C5-ABBF88ABD84E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HeaderCell" dxfId="104"/>
      <tableStyleElement type="firstTotalCell" dxfId="103"/>
    </tableStyle>
    <tableStyle name="InputTable" pivot="0" count="7" xr9:uid="{9617E59F-5DF0-47AF-83C4-A84A9808487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HeaderCell" dxfId="97"/>
      <tableStyleElement type="firstTotalCell" dxfId="96"/>
    </tableStyle>
    <tableStyle name="InternalTable" pivot="0" count="7" xr9:uid="{9A63A350-72BA-49B9-801B-3C3B44C3E076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HeaderCell" dxfId="90"/>
      <tableStyleElement type="firstTotalCell" dxfId="89"/>
    </tableStyle>
    <tableStyle name="LookupTable" pivot="0" count="7" xr9:uid="{D3586F5E-ABCB-4F16-BB44-E3580B59E066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HeaderCell" dxfId="83"/>
      <tableStyleElement type="firstTotalCell" dxfId="82"/>
    </tableStyle>
    <tableStyle name="QueryTable" pivot="0" count="9" xr9:uid="{7DC53262-A055-4B56-B573-515E8A82B02E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HeaderCell" dxfId="76"/>
      <tableStyleElement type="lastHeaderCell" dxfId="75"/>
      <tableStyleElement type="firstTotalCell" dxfId="74"/>
      <tableStyleElement type="lastTotalCell" dxfId="73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106680</xdr:rowOff>
        </xdr:from>
        <xdr:to>
          <xdr:col>16</xdr:col>
          <xdr:colOff>571500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R50" tableBorderDxfId="67">
  <tableColumns count="18">
    <tableColumn id="1" xr3:uid="{76068DAB-DC13-445B-857C-6BDE6792A5EF}" name="Cell Name" totalsRowLabel="Total" dataDxfId="66"/>
    <tableColumn id="10" xr3:uid="{7F57117A-3BC3-4A81-9ED4-DF1879D74C06}" name="StyleName" dataDxfId="65">
      <calculatedColumnFormula>KeyTable[[#This Row],[Class]]&amp;KeyTable[[#This Row],[Type]]</calculatedColumnFormula>
    </tableColumn>
    <tableColumn id="17" xr3:uid="{7EB90F7A-0B49-42FA-B346-EDC12516B994}" name="Class" dataDxfId="64" totalsRowDxfId="63"/>
    <tableColumn id="18" xr3:uid="{D2231085-8635-4719-ACB9-2A6FE34360B3}" name="Type" totalsRowDxfId="62"/>
    <tableColumn id="2" xr3:uid="{6D1D03BF-9E42-48E5-9D14-FCB08690EA7A}" name="Where Used" totalsRowDxfId="61"/>
    <tableColumn id="3" xr3:uid="{104032BF-985A-457B-B832-4433AB3EDBFC}" name="Typing Notes" totalsRowDxfId="60"/>
    <tableColumn id="4" xr3:uid="{DB8BFC11-B0D1-4846-A39C-C054A1119787}" name="Warnings" totalsRowDxfId="59"/>
    <tableColumn id="8" xr3:uid="{57BF9228-3F09-4079-ACFD-F5692E34A4C3}" name="Fmt Notes" totalsRowFunction="count" totalsRowDxfId="58"/>
    <tableColumn id="9" xr3:uid="{52CAA38C-101F-4454-9B7A-AEE3ED3DF879}" name="Font" dataDxfId="57" totalsRowDxfId="56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55" totalsRowDxfId="54"/>
    <tableColumn id="11" xr3:uid="{97705706-DD43-48D7-A714-6942BBA1BD45}" name="Base" dataDxfId="53" totalsRowDxfId="52"/>
    <tableColumn id="16" xr3:uid="{91C91811-BF5C-47BF-9544-301F1AD32EC9}" name="Pat" dataDxfId="51" totalsRowDxfId="50"/>
    <tableColumn id="13" xr3:uid="{9026655B-F047-4B16-9D83-46C4D12683B8}" name="BOv" dataDxfId="49" totalsRowDxfId="48"/>
    <tableColumn id="14" xr3:uid="{97D396DA-77C8-4EF1-ABB7-86BAAB20B0F4}" name="FOv" dataDxfId="47" totalsRowDxfId="46"/>
    <tableColumn id="15" xr3:uid="{D93B4D51-6EE6-4973-81E1-FBBFBCC42DFF}" name="POv" dataDxfId="45" totalsRowDxfId="44"/>
    <tableColumn id="5" xr3:uid="{3B9668E6-624A-46E5-B3D2-FFFE00082FEB}" name="BgClr" dataDxfId="43" totalsRowDxfId="42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1" totalsRowDxfId="40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9" totalsRowDxfId="38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59:G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7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T2:W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6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Y2:Y3" totalsRowShown="0" headerRowDxfId="35" dataDxfId="34" tableBorderDxfId="33">
  <tableColumns count="1">
    <tableColumn id="1" xr3:uid="{EBEEB104-485E-4066-A89C-BF60264C502F}" name="UseCol3" dataDxfId="32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5:G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1">
      <totalsRowFormula>COUNTIF(IntSampleTable[Internal2],"")    &amp;     " Blank Cells"</totalsRowFormula>
    </tableColumn>
    <tableColumn id="3" xr3:uid="{F2CB2A44-808C-49EA-9140-07BAA4A60FA4}" name="CalcColumn3" totalsRowFunction="custom" dataDxfId="30" dataCellStyle="CalcVal" totalsRowCellStyle="CalcHd">
      <calculatedColumnFormula>1 /  VALUE(LEFT($F$68,1))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1:G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77:G80">
  <tableColumns count="3">
    <tableColumn id="1" xr3:uid="{B5DEA632-2684-44B4-8E1E-3DCB0DA0518A}" name="Column1" totalsRowLabel="Total" dataDxfId="29">
      <calculatedColumnFormula>4</calculatedColumnFormula>
    </tableColumn>
    <tableColumn id="2" xr3:uid="{134485BA-02AB-4EAC-957B-AC34B5356A49}" name="Column2" dataDxfId="28">
      <calculatedColumnFormula>4/NewTable[[#This Row],[Column1]]</calculatedColumnFormula>
    </tableColumn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7" dataDxfId="26" tableBorderDxfId="25">
  <tableColumns count="1">
    <tableColumn id="1" xr3:uid="{05176BC8-1854-4480-8FA0-241B7288A519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E3:F4" totalsRowShown="0" headerRowDxfId="23" dataDxfId="22" tableBorderDxfId="21" headerRowCellStyle="LkpHdKey" dataCellStyle="LkpKey">
  <tableColumns count="2">
    <tableColumn id="1" xr3:uid="{21F6AF6E-BC39-4E4D-96F8-2A8030E0361E}" name="Y" dataDxfId="20" dataCellStyle="LkpKey">
      <calculatedColumnFormula array="1">OFFSET( BoolName, 0, 0, 1, 1)</calculatedColumnFormula>
    </tableColumn>
    <tableColumn id="3" xr3:uid="{83460445-1457-46BA-8264-4B62AABBEE2F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8" dataDxfId="17">
  <tableColumns count="1">
    <tableColumn id="1" xr3:uid="{81DCCB68-E122-4508-B003-CA2A07871428}" name="YN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G3:H4" totalsRowShown="0" headerRowDxfId="15" dataDxfId="14" tableBorderDxfId="13" headerRowCellStyle="LkpHdKey" dataCellStyle="LkpKey">
  <tableColumns count="2">
    <tableColumn id="1" xr3:uid="{EA30E58B-0A29-4559-8833-A0D5373F57BC}" name="Y" dataDxfId="12" dataCellStyle="LkpKey">
      <calculatedColumnFormula>OFFSET( YNTable[], 0, 0, 1, 1)</calculatedColumnFormula>
    </tableColumn>
    <tableColumn id="2" xr3:uid="{1694A841-EFD0-42A1-8F8C-C4FF2FAB0707}" name="N" dataDxfId="11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J2:O3" totalsRowShown="0" dataDxfId="10" tableBorderDxfId="9">
  <tableColumns count="6">
    <tableColumn id="1" xr3:uid="{CE43395E-509B-4D9B-AEE6-3E667D174062}" name="Cell Title" dataDxfId="8"/>
    <tableColumn id="2" xr3:uid="{9B26D6EC-FDDF-4E71-A9C2-E86D018A2279}" name="Headers" dataDxfId="7"/>
    <tableColumn id="3" xr3:uid="{41F1A380-C2EE-499E-A8EB-894C73458495}" name="Cells" dataDxfId="6"/>
    <tableColumn id="4" xr3:uid="{03A9D671-23FC-45D7-AC5C-C176DD7C948D}" name="Sets Font" dataDxfId="5"/>
    <tableColumn id="5" xr3:uid="{9EA5D9D6-4C7D-4C49-9EC4-7320D66375FD}" name="Sets Fmt" dataDxfId="4"/>
    <tableColumn id="6" xr3:uid="{9BD9619D-860D-40AA-91FB-3F17BD285B88}" name="ChgNorm" dataDxfId="3"/>
  </tableColumns>
  <tableStyleInfo name="InternalTable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R2:U3" totalsRowShown="0" tableBorderDxfId="2">
  <tableColumns count="4">
    <tableColumn id="1" xr3:uid="{A5004194-60BB-433D-8E0E-0CF15C935043}" name="Heading" dataCellStyle="Normal"/>
    <tableColumn id="2" xr3:uid="{1393DE11-6B54-4717-B14B-6B5E72D45846}" name="Body" dataDxfId="1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8:C15">
  <autoFilter ref="A8:C15" xr:uid="{35522422-FDBF-4EE1-ACDC-C6356B5E021C}">
    <filterColumn colId="0" hiddenButton="1"/>
    <filterColumn colId="1" hiddenButton="1"/>
    <filterColumn colId="2" hiddenButton="1"/>
  </autoFilter>
  <tableColumns count="3">
    <tableColumn id="1" xr3:uid="{3630D485-8FEF-4F8B-AA63-12AA2441D77B}" name="Error" totalsRowLabel="Total"/>
    <tableColumn id="2" xr3:uid="{7359E97B-CF32-4CC9-AC5B-A12A618EF849}" name="Value" totalsRowFunction="count"/>
    <tableColumn id="3" xr3:uid="{01457118-6349-40FB-8225-CFDBEBF40715}" name="Name"/>
  </tableColumns>
  <tableStyleInfo name="InternalTable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E8:H15" totalsRowShown="0" tableBorderDxfId="0">
  <autoFilter ref="E8:H15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6A2550C-F0C0-48FF-AC44-65C2A58A2584}" name="Table17" displayName="Table17" ref="D2:H10" totalsRowShown="0">
  <autoFilter ref="D2:H10" xr:uid="{C6A2550C-F0C0-48FF-AC44-65C2A58A2584}"/>
  <tableColumns count="5">
    <tableColumn id="1" xr3:uid="{519EA997-BF61-43FF-8AF3-93A5026D7FB8}" name="Column1"/>
    <tableColumn id="2" xr3:uid="{D8E1D06D-F616-4DC4-81C4-F316CC110E66}" name="Column2" dataCellStyle="InpCell"/>
    <tableColumn id="3" xr3:uid="{1D90565B-C7DE-4E53-8774-42D06165EAA6}" name="Column3" dataCellStyle="LkpCell"/>
    <tableColumn id="4" xr3:uid="{D82EDC95-A4EB-4666-9E2E-AFCD9715DC77}" name="Column4" dataCellStyle="QueCell"/>
    <tableColumn id="5" xr3:uid="{9E50A6AD-41DE-4FAF-AEE7-2001E8FAABF8}" name="Column5" dataCellStyle="InpCell"/>
  </tableColumns>
  <tableStyleInfo name="Inpu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Y80"/>
  <sheetViews>
    <sheetView zoomScaleNormal="100" workbookViewId="0">
      <selection activeCell="G14" sqref="G14"/>
    </sheetView>
  </sheetViews>
  <sheetFormatPr defaultRowHeight="13.8" x14ac:dyDescent="0.25"/>
  <cols>
    <col min="1" max="1" width="20.3984375" bestFit="1" customWidth="1"/>
    <col min="2" max="2" width="9.3984375" bestFit="1" customWidth="1"/>
    <col min="3" max="3" width="5.296875" bestFit="1" customWidth="1"/>
    <col min="4" max="4" width="5.796875" bestFit="1" customWidth="1"/>
    <col min="5" max="5" width="24.796875" bestFit="1" customWidth="1"/>
    <col min="6" max="6" width="22.296875" bestFit="1" customWidth="1"/>
    <col min="7" max="7" width="37.69921875" bestFit="1" customWidth="1"/>
    <col min="8" max="8" width="25.69921875" bestFit="1" customWidth="1"/>
    <col min="9" max="9" width="14.296875" bestFit="1" customWidth="1"/>
    <col min="10" max="10" width="3.296875" bestFit="1" customWidth="1"/>
    <col min="11" max="11" width="4.796875" bestFit="1" customWidth="1"/>
    <col min="12" max="12" width="3.3984375" bestFit="1" customWidth="1"/>
    <col min="13" max="13" width="4.09765625" bestFit="1" customWidth="1"/>
    <col min="14" max="14" width="3.8984375" bestFit="1" customWidth="1"/>
    <col min="15" max="15" width="4" bestFit="1" customWidth="1"/>
    <col min="16" max="18" width="6" bestFit="1" customWidth="1"/>
    <col min="19" max="19" width="8.69921875" bestFit="1" customWidth="1"/>
    <col min="20" max="20" width="7.3984375" bestFit="1" customWidth="1"/>
    <col min="21" max="21" width="9.296875" bestFit="1" customWidth="1"/>
    <col min="23" max="23" width="7.09765625" bestFit="1" customWidth="1"/>
  </cols>
  <sheetData>
    <row r="1" spans="1:25" ht="20.399999999999999" x14ac:dyDescent="0.25">
      <c r="A1" s="159" t="s">
        <v>16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T1" s="159" t="s">
        <v>17</v>
      </c>
      <c r="U1" s="159"/>
      <c r="V1" s="159"/>
      <c r="W1" s="159"/>
      <c r="Y1" s="3" t="s">
        <v>18</v>
      </c>
    </row>
    <row r="2" spans="1:25" x14ac:dyDescent="0.25">
      <c r="A2" t="s">
        <v>19</v>
      </c>
      <c r="B2" t="s">
        <v>20</v>
      </c>
      <c r="C2" t="s">
        <v>228</v>
      </c>
      <c r="D2" t="s">
        <v>212</v>
      </c>
      <c r="E2" t="s">
        <v>21</v>
      </c>
      <c r="F2" t="s">
        <v>22</v>
      </c>
      <c r="G2" t="s">
        <v>23</v>
      </c>
      <c r="H2" t="s">
        <v>24</v>
      </c>
      <c r="I2" s="77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s="77" t="s">
        <v>32</v>
      </c>
      <c r="Q2" s="77" t="s">
        <v>33</v>
      </c>
      <c r="R2" s="77" t="s">
        <v>34</v>
      </c>
      <c r="T2" t="s">
        <v>35</v>
      </c>
      <c r="U2" t="s">
        <v>36</v>
      </c>
      <c r="V2" t="s">
        <v>37</v>
      </c>
      <c r="W2" t="s">
        <v>38</v>
      </c>
      <c r="Y2" s="1" t="s">
        <v>39</v>
      </c>
    </row>
    <row r="3" spans="1:25" x14ac:dyDescent="0.25">
      <c r="A3" s="4" t="s">
        <v>40</v>
      </c>
      <c r="B3" s="93" t="str">
        <f>KeyTable[[#This Row],[Class]]&amp;KeyTable[[#This Row],[Type]]</f>
        <v>CalcHdKey</v>
      </c>
      <c r="C3" t="s">
        <v>229</v>
      </c>
      <c r="D3" t="s">
        <v>237</v>
      </c>
      <c r="E3" t="s">
        <v>41</v>
      </c>
      <c r="F3" t="s">
        <v>42</v>
      </c>
      <c r="G3" t="s">
        <v>43</v>
      </c>
      <c r="H3" t="s">
        <v>44</v>
      </c>
      <c r="I3" s="5" t="str" cm="1">
        <f t="array" ref="I3" xml:space="preserve"> IF( OR(RIGHT(KeyTable[[#This Row],[StyleName]], 4) = "Date", RIGHT(KeyTable[[#This Row],[StyleName]], 3) = "Val"), FontTable[Mono], FontTable[Body])</f>
        <v>Bahnschrift</v>
      </c>
      <c r="J3" s="137" t="s">
        <v>45</v>
      </c>
      <c r="K3" s="138" t="s">
        <v>46</v>
      </c>
      <c r="L3" s="138"/>
      <c r="M3" s="137"/>
      <c r="N3" s="139"/>
      <c r="O3" s="140"/>
      <c r="P3" s="6" t="str" cm="1">
        <f t="array" ref="P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3" s="7" t="str" cm="1">
        <f t="array" ref="Q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3" s="8" t="str" cm="1">
        <f t="array" ref="R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3" t="b">
        <v>1</v>
      </c>
      <c r="U3" t="s">
        <v>47</v>
      </c>
      <c r="V3">
        <v>700</v>
      </c>
      <c r="W3" t="b" cm="1">
        <f t="array" aca="1" ref="W3" ca="1">AND(ConitionalTable[[#This Row],[Column1]]=BoolYes,ConitionalTable[[#This Row],[Column2]]&lt;&gt;"BadValue",OR(ConitionalTable[[#This Row],[Column3]]&gt;0, NOT(SampleOptionTable[UseCol3])))</f>
        <v>1</v>
      </c>
      <c r="Y3" s="1" t="b">
        <v>0</v>
      </c>
    </row>
    <row r="4" spans="1:25" x14ac:dyDescent="0.25">
      <c r="A4" s="9" t="s">
        <v>48</v>
      </c>
      <c r="B4" s="77" t="str">
        <f>KeyTable[[#This Row],[Class]]&amp;KeyTable[[#This Row],[Type]]</f>
        <v>CalcHd</v>
      </c>
      <c r="C4" t="s">
        <v>229</v>
      </c>
      <c r="D4" t="s">
        <v>238</v>
      </c>
      <c r="E4" t="s">
        <v>41</v>
      </c>
      <c r="F4" t="s">
        <v>42</v>
      </c>
      <c r="G4" t="s">
        <v>43</v>
      </c>
      <c r="H4" t="s">
        <v>44</v>
      </c>
      <c r="I4" s="5" t="str" cm="1">
        <f t="array" ref="I4" xml:space="preserve"> IF( OR(RIGHT(KeyTable[[#This Row],[StyleName]], 4) = "Date", RIGHT(KeyTable[[#This Row],[StyleName]], 3) = "Val"), FontTable[Mono], FontTable[Body])</f>
        <v>Bahnschrift</v>
      </c>
      <c r="J4" s="137" t="s">
        <v>45</v>
      </c>
      <c r="K4" s="138" t="s">
        <v>50</v>
      </c>
      <c r="L4" s="138"/>
      <c r="M4" s="137" t="s">
        <v>51</v>
      </c>
      <c r="N4" s="139"/>
      <c r="O4" s="140"/>
      <c r="P4" s="6" t="str" cm="1">
        <f t="array" ref="P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Q4" s="7" t="str" cm="1">
        <f t="array" ref="Q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4" s="10" t="str" cm="1">
        <f t="array" ref="R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4" t="b">
        <v>0</v>
      </c>
      <c r="U4" t="s">
        <v>52</v>
      </c>
      <c r="V4">
        <v>5</v>
      </c>
      <c r="W4" t="b" cm="1">
        <f t="array" aca="1" ref="W4" ca="1">AND(ConitionalTable[[#This Row],[Column1]]=BoolYes,ConitionalTable[[#This Row],[Column2]]&lt;&gt;"BadValue",OR(ConitionalTable[[#This Row],[Column3]]&gt;0, NOT(SampleOptionTable[UseCol3])))</f>
        <v>0</v>
      </c>
    </row>
    <row r="5" spans="1:25" x14ac:dyDescent="0.25">
      <c r="A5" s="11" t="s">
        <v>53</v>
      </c>
      <c r="B5" s="94" t="str">
        <f>KeyTable[[#This Row],[Class]]&amp;KeyTable[[#This Row],[Type]]</f>
        <v>CalcKey</v>
      </c>
      <c r="C5" t="s">
        <v>229</v>
      </c>
      <c r="D5" t="s">
        <v>239</v>
      </c>
      <c r="E5" t="s">
        <v>54</v>
      </c>
      <c r="F5" t="s">
        <v>42</v>
      </c>
      <c r="G5" t="s">
        <v>55</v>
      </c>
      <c r="I5" s="5" t="str" cm="1">
        <f t="array" ref="I5" xml:space="preserve"> IF( OR(RIGHT(KeyTable[[#This Row],[StyleName]], 4) = "Date", RIGHT(KeyTable[[#This Row],[StyleName]], 3) = "Val"), FontTable[Mono], FontTable[Body])</f>
        <v>Bahnschrift</v>
      </c>
      <c r="J5" s="137" t="s">
        <v>46</v>
      </c>
      <c r="K5" s="138" t="s">
        <v>56</v>
      </c>
      <c r="L5" s="138"/>
      <c r="M5" s="137" t="s">
        <v>57</v>
      </c>
      <c r="N5" s="139"/>
      <c r="O5" s="140"/>
      <c r="P5" s="6" t="str" cm="1">
        <f t="array" ref="P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Q5" s="7" t="str" cm="1">
        <f t="array" ref="Q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5" s="10" t="str" cm="1">
        <f t="array" ref="R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5" t="b">
        <v>1</v>
      </c>
      <c r="V5">
        <v>-7</v>
      </c>
      <c r="W5" t="b" cm="1">
        <f t="array" aca="1" ref="W5" ca="1">AND(ConitionalTable[[#This Row],[Column1]]=BoolYes,ConitionalTable[[#This Row],[Column2]]&lt;&gt;"BadValue",OR(ConitionalTable[[#This Row],[Column3]]&gt;0, NOT(SampleOptionTable[UseCol3])))</f>
        <v>1</v>
      </c>
    </row>
    <row r="6" spans="1:25" x14ac:dyDescent="0.25">
      <c r="A6" s="10" t="s">
        <v>58</v>
      </c>
      <c r="B6" s="95" t="str">
        <f>KeyTable[[#This Row],[Class]]&amp;KeyTable[[#This Row],[Type]]</f>
        <v>CalcVal</v>
      </c>
      <c r="C6" t="s">
        <v>229</v>
      </c>
      <c r="D6" t="s">
        <v>240</v>
      </c>
      <c r="E6" t="s">
        <v>54</v>
      </c>
      <c r="F6" t="s">
        <v>42</v>
      </c>
      <c r="G6" t="s">
        <v>55</v>
      </c>
      <c r="I6" s="5" t="str" cm="1">
        <f t="array" ref="I6" xml:space="preserve"> IF( OR(RIGHT(KeyTable[[#This Row],[StyleName]], 4) = "Date", RIGHT(KeyTable[[#This Row],[StyleName]], 3) = "Val"), FontTable[Mono], FontTable[Body])</f>
        <v>OCR A Extended</v>
      </c>
      <c r="J6" s="137" t="s">
        <v>46</v>
      </c>
      <c r="K6" s="138" t="s">
        <v>56</v>
      </c>
      <c r="L6" s="138"/>
      <c r="M6" s="137" t="s">
        <v>59</v>
      </c>
      <c r="N6" s="139"/>
      <c r="O6" s="140"/>
      <c r="P6" s="6" t="str" cm="1">
        <f t="array" ref="P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Q6" s="7" t="str" cm="1">
        <f t="array" ref="Q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6" s="10" t="str" cm="1">
        <f t="array" ref="R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6" t="b">
        <v>1</v>
      </c>
      <c r="U6" t="s">
        <v>60</v>
      </c>
      <c r="V6">
        <v>20</v>
      </c>
      <c r="W6" t="b" cm="1">
        <f t="array" aca="1" ref="W6" ca="1">AND(ConitionalTable[[#This Row],[Column1]]=BoolYes,ConitionalTable[[#This Row],[Column2]]&lt;&gt;"BadValue",OR(ConitionalTable[[#This Row],[Column3]]&gt;0, NOT(SampleOptionTable[UseCol3])))</f>
        <v>1</v>
      </c>
    </row>
    <row r="7" spans="1:25" ht="14.4" thickBot="1" x14ac:dyDescent="0.3">
      <c r="A7" s="12" t="s">
        <v>61</v>
      </c>
      <c r="B7" s="12" t="str">
        <f>KeyTable[[#This Row],[Class]]&amp;KeyTable[[#This Row],[Type]]</f>
        <v>CalcCell</v>
      </c>
      <c r="C7" t="s">
        <v>229</v>
      </c>
      <c r="D7" t="s">
        <v>241</v>
      </c>
      <c r="E7" s="13" t="s">
        <v>54</v>
      </c>
      <c r="F7" s="13" t="s">
        <v>42</v>
      </c>
      <c r="G7" s="13" t="s">
        <v>55</v>
      </c>
      <c r="H7" s="13"/>
      <c r="I7" s="14" t="str" cm="1">
        <f t="array" ref="I7" xml:space="preserve"> IF( OR(RIGHT(KeyTable[[#This Row],[StyleName]], 4) = "Date", RIGHT(KeyTable[[#This Row],[StyleName]], 3) = "Val"), FontTable[Mono], FontTable[Body])</f>
        <v>Bahnschrift</v>
      </c>
      <c r="J7" s="141" t="s">
        <v>46</v>
      </c>
      <c r="K7" s="142" t="s">
        <v>56</v>
      </c>
      <c r="L7" s="142"/>
      <c r="M7" s="141" t="s">
        <v>63</v>
      </c>
      <c r="N7" s="142"/>
      <c r="O7" s="143"/>
      <c r="P7" s="15" t="str" cm="1">
        <f t="array" ref="P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Q7" s="16" t="str" cm="1">
        <f t="array" ref="Q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7" s="17" t="str" cm="1">
        <f t="array" ref="R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7" t="b">
        <v>1</v>
      </c>
      <c r="V7">
        <v>-100</v>
      </c>
      <c r="W7" t="b" cm="1">
        <f t="array" aca="1" ref="W7" ca="1">AND(ConitionalTable[[#This Row],[Column1]]=BoolYes,ConitionalTable[[#This Row],[Column2]]&lt;&gt;"BadValue",OR(ConitionalTable[[#This Row],[Column3]]&gt;0, NOT(SampleOptionTable[UseCol3])))</f>
        <v>1</v>
      </c>
    </row>
    <row r="8" spans="1:25" x14ac:dyDescent="0.25">
      <c r="A8" s="18" t="s">
        <v>64</v>
      </c>
      <c r="B8" s="96" t="str">
        <f>KeyTable[[#This Row],[Class]]&amp;KeyTable[[#This Row],[Type]]</f>
        <v>DeacHdKey</v>
      </c>
      <c r="C8" t="s">
        <v>230</v>
      </c>
      <c r="D8" t="s">
        <v>237</v>
      </c>
      <c r="E8" t="s">
        <v>41</v>
      </c>
      <c r="F8" t="s">
        <v>42</v>
      </c>
      <c r="G8" t="s">
        <v>65</v>
      </c>
      <c r="H8" t="s">
        <v>66</v>
      </c>
      <c r="I8" s="19" t="str" cm="1">
        <f t="array" ref="I8" xml:space="preserve"> IF( OR(RIGHT(KeyTable[[#This Row],[StyleName]], 4) = "Date", RIGHT(KeyTable[[#This Row],[StyleName]], 3) = "Val"), FontTable[Mono], FontTable[Body])</f>
        <v>Bahnschrift</v>
      </c>
      <c r="J8" s="137" t="s">
        <v>45</v>
      </c>
      <c r="K8" s="138" t="s">
        <v>46</v>
      </c>
      <c r="L8" s="138" t="s">
        <v>46</v>
      </c>
      <c r="M8" s="144"/>
      <c r="N8" s="145" t="s">
        <v>57</v>
      </c>
      <c r="O8" s="146" t="s">
        <v>13</v>
      </c>
      <c r="P8" s="20" t="str" cm="1">
        <f t="array" ref="P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8" s="21" t="str" cm="1">
        <f t="array" ref="Q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8" s="22" t="str" cm="1">
        <f t="array" ref="R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T8" t="b">
        <v>1</v>
      </c>
      <c r="W8" t="b" cm="1">
        <f t="array" aca="1" ref="W8" ca="1">AND(ConitionalTable[[#This Row],[Column1]]=BoolYes,ConitionalTable[[#This Row],[Column2]]&lt;&gt;"BadValue",OR(ConitionalTable[[#This Row],[Column3]]&gt;0, NOT(SampleOptionTable[UseCol3])))</f>
        <v>1</v>
      </c>
    </row>
    <row r="9" spans="1:25" x14ac:dyDescent="0.25">
      <c r="A9" s="23" t="s">
        <v>67</v>
      </c>
      <c r="B9" s="97" t="str">
        <f>KeyTable[[#This Row],[Class]]&amp;KeyTable[[#This Row],[Type]]</f>
        <v>DeacHd</v>
      </c>
      <c r="C9" t="s">
        <v>230</v>
      </c>
      <c r="D9" t="s">
        <v>238</v>
      </c>
      <c r="E9" t="s">
        <v>41</v>
      </c>
      <c r="F9" t="s">
        <v>42</v>
      </c>
      <c r="G9" t="s">
        <v>65</v>
      </c>
      <c r="H9" t="s">
        <v>44</v>
      </c>
      <c r="I9" s="5" t="str" cm="1">
        <f t="array" ref="I9" xml:space="preserve"> IF( OR(RIGHT(KeyTable[[#This Row],[StyleName]], 4) = "Date", RIGHT(KeyTable[[#This Row],[StyleName]], 3) = "Val"), FontTable[Mono], FontTable[Body])</f>
        <v>Bahnschrift</v>
      </c>
      <c r="J9" s="137" t="s">
        <v>50</v>
      </c>
      <c r="K9" s="138" t="s">
        <v>50</v>
      </c>
      <c r="L9" s="138"/>
      <c r="M9" s="137"/>
      <c r="N9" s="139" t="s">
        <v>68</v>
      </c>
      <c r="O9" s="140"/>
      <c r="P9" s="6" t="str" cm="1">
        <f t="array" ref="P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Q9" s="7" t="str" cm="1">
        <f t="array" ref="Q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R9" s="7" t="str" cm="1">
        <f t="array" ref="R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9" t="b">
        <v>1</v>
      </c>
      <c r="V9">
        <v>80</v>
      </c>
      <c r="W9" t="b" cm="1">
        <f t="array" aca="1" ref="W9" ca="1">AND(ConitionalTable[[#This Row],[Column1]]=BoolYes,ConitionalTable[[#This Row],[Column2]]&lt;&gt;"BadValue",OR(ConitionalTable[[#This Row],[Column3]]&gt;0, NOT(SampleOptionTable[UseCol3])))</f>
        <v>1</v>
      </c>
    </row>
    <row r="10" spans="1:25" x14ac:dyDescent="0.25">
      <c r="A10" s="24" t="s">
        <v>69</v>
      </c>
      <c r="B10" s="98" t="str">
        <f>KeyTable[[#This Row],[Class]]&amp;KeyTable[[#This Row],[Type]]</f>
        <v>DeacCell</v>
      </c>
      <c r="C10" t="s">
        <v>230</v>
      </c>
      <c r="D10" t="s">
        <v>241</v>
      </c>
      <c r="E10" t="s">
        <v>70</v>
      </c>
      <c r="F10" t="s">
        <v>42</v>
      </c>
      <c r="G10" t="s">
        <v>71</v>
      </c>
      <c r="I10" s="5" t="str" cm="1">
        <f t="array" ref="I10" xml:space="preserve"> IF( OR(RIGHT(KeyTable[[#This Row],[StyleName]], 4) = "Date", RIGHT(KeyTable[[#This Row],[StyleName]], 3) = "Val"), FontTable[Mono], FontTable[Body])</f>
        <v>Bahnschrift</v>
      </c>
      <c r="J10" s="137" t="s">
        <v>45</v>
      </c>
      <c r="K10" s="138" t="s">
        <v>45</v>
      </c>
      <c r="L10" s="138"/>
      <c r="M10" s="137" t="s">
        <v>13</v>
      </c>
      <c r="N10" s="139" t="s">
        <v>57</v>
      </c>
      <c r="O10" s="140"/>
      <c r="P10" s="6" t="str" cm="1">
        <f t="array" ref="P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0" s="7" t="str" cm="1">
        <f t="array" ref="Q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10" s="7" t="str" cm="1">
        <f t="array" ref="R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10" t="b" cm="1">
        <f t="array" aca="1" ref="W10" ca="1">AND(ConitionalTable[[#This Row],[Column1]]=BoolYes,ConitionalTable[[#This Row],[Column2]]&lt;&gt;"BadValue",OR(ConitionalTable[[#This Row],[Column3]]&gt;0, NOT(SampleOptionTable[UseCol3])))</f>
        <v>0</v>
      </c>
    </row>
    <row r="11" spans="1:25" ht="14.4" thickBot="1" x14ac:dyDescent="0.3">
      <c r="A11" s="25" t="s">
        <v>72</v>
      </c>
      <c r="B11" s="99" t="str">
        <f>KeyTable[[#This Row],[Class]]&amp;KeyTable[[#This Row],[Type]]</f>
        <v>ActDeac</v>
      </c>
      <c r="C11" t="s">
        <v>232</v>
      </c>
      <c r="D11" t="s">
        <v>230</v>
      </c>
      <c r="E11" s="13" t="s">
        <v>70</v>
      </c>
      <c r="F11" s="13" t="s">
        <v>42</v>
      </c>
      <c r="G11" s="13" t="s">
        <v>71</v>
      </c>
      <c r="H11" s="13" t="s">
        <v>73</v>
      </c>
      <c r="I11" s="14" t="str" cm="1">
        <f t="array" ref="I11" xml:space="preserve"> IF( OR(RIGHT(KeyTable[[#This Row],[StyleName]], 4) = "Date", RIGHT(KeyTable[[#This Row],[StyleName]], 3) = "Val"), FontTable[Mono], FontTable[Body])</f>
        <v>Bahnschrift</v>
      </c>
      <c r="J11" s="141" t="s">
        <v>45</v>
      </c>
      <c r="K11" s="142" t="s">
        <v>45</v>
      </c>
      <c r="L11" s="142" t="s">
        <v>50</v>
      </c>
      <c r="M11" s="141"/>
      <c r="N11" s="142"/>
      <c r="O11" s="143" t="s">
        <v>51</v>
      </c>
      <c r="P11" s="15" t="str" cm="1">
        <f t="array" ref="P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1" s="16" t="str" cm="1">
        <f t="array" ref="Q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R11" s="16" t="str" cm="1">
        <f t="array" ref="R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W11" t="b" cm="1">
        <f t="array" aca="1" ref="W11" ca="1">AND(ConitionalTable[[#This Row],[Column1]]=BoolYes,ConitionalTable[[#This Row],[Column2]]&lt;&gt;"BadValue",OR(ConitionalTable[[#This Row],[Column3]]&gt;0, NOT(SampleOptionTable[UseCol3])))</f>
        <v>0</v>
      </c>
    </row>
    <row r="12" spans="1:25" x14ac:dyDescent="0.25">
      <c r="A12" s="26" t="s">
        <v>74</v>
      </c>
      <c r="B12" s="100" t="str">
        <f>KeyTable[[#This Row],[Class]]&amp;KeyTable[[#This Row],[Type]]</f>
        <v>BoxTitle</v>
      </c>
      <c r="C12" t="s">
        <v>221</v>
      </c>
      <c r="D12" t="s">
        <v>247</v>
      </c>
      <c r="E12" t="s">
        <v>75</v>
      </c>
      <c r="F12" s="27" t="s">
        <v>42</v>
      </c>
      <c r="G12" s="27" t="s">
        <v>76</v>
      </c>
      <c r="H12" s="27" t="s">
        <v>77</v>
      </c>
      <c r="I12" s="19" t="str" cm="1">
        <f t="array" ref="I12" xml:space="preserve"> IF( OR(RIGHT(KeyTable[[#This Row],[StyleName]], 4) = "Date", RIGHT(KeyTable[[#This Row],[StyleName]], 3) = "Val"), FontTable[Mono], FontTable[Body])</f>
        <v>Bahnschrift</v>
      </c>
      <c r="J12" s="137" t="s">
        <v>78</v>
      </c>
      <c r="K12" s="139" t="s">
        <v>78</v>
      </c>
      <c r="L12" s="139"/>
      <c r="M12" s="144" t="s">
        <v>79</v>
      </c>
      <c r="N12" s="145"/>
      <c r="O12" s="146"/>
      <c r="P12" s="20" t="str" cm="1">
        <f t="array" ref="P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2" s="21" t="str" cm="1">
        <f t="array" ref="Q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2" s="21" t="str" cm="1">
        <f t="array" ref="R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2" t="b">
        <v>0</v>
      </c>
      <c r="W12" t="b" cm="1">
        <f t="array" aca="1" ref="W12" ca="1">AND(ConitionalTable[[#This Row],[Column1]]=BoolYes,ConitionalTable[[#This Row],[Column2]]&lt;&gt;"BadValue",OR(ConitionalTable[[#This Row],[Column3]]&gt;0, NOT(SampleOptionTable[UseCol3])))</f>
        <v>0</v>
      </c>
    </row>
    <row r="13" spans="1:25" x14ac:dyDescent="0.25">
      <c r="A13" s="28" t="s">
        <v>80</v>
      </c>
      <c r="B13" s="101" t="str">
        <f>KeyTable[[#This Row],[Class]]&amp;KeyTable[[#This Row],[Type]]</f>
        <v>BoxHdKey</v>
      </c>
      <c r="C13" t="s">
        <v>221</v>
      </c>
      <c r="D13" t="s">
        <v>237</v>
      </c>
      <c r="E13" t="s">
        <v>75</v>
      </c>
      <c r="F13" s="27" t="s">
        <v>42</v>
      </c>
      <c r="G13" s="27" t="s">
        <v>76</v>
      </c>
      <c r="H13" s="27" t="s">
        <v>81</v>
      </c>
      <c r="I13" s="5" t="str" cm="1">
        <f t="array" ref="I13" xml:space="preserve"> IF( OR(RIGHT(KeyTable[[#This Row],[StyleName]], 4) = "Date", RIGHT(KeyTable[[#This Row],[StyleName]], 3) = "Val"), FontTable[Mono], FontTable[Body])</f>
        <v>Bahnschrift</v>
      </c>
      <c r="J13" s="137" t="s">
        <v>78</v>
      </c>
      <c r="K13" s="139" t="s">
        <v>78</v>
      </c>
      <c r="L13" s="139"/>
      <c r="M13" s="137"/>
      <c r="N13" s="139"/>
      <c r="O13" s="140"/>
      <c r="P13" s="6" t="str" cm="1">
        <f t="array" ref="P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3" s="7" t="str" cm="1">
        <f t="array" ref="Q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3" s="10" t="str" cm="1">
        <f t="array" ref="R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3" t="b">
        <v>0</v>
      </c>
      <c r="V13">
        <v>-56</v>
      </c>
      <c r="W13" t="b" cm="1">
        <f t="array" aca="1" ref="W13" ca="1">AND(ConitionalTable[[#This Row],[Column1]]=BoolYes,ConitionalTable[[#This Row],[Column2]]&lt;&gt;"BadValue",OR(ConitionalTable[[#This Row],[Column3]]&gt;0, NOT(SampleOptionTable[UseCol3])))</f>
        <v>0</v>
      </c>
    </row>
    <row r="14" spans="1:25" x14ac:dyDescent="0.25">
      <c r="A14" s="29" t="s">
        <v>82</v>
      </c>
      <c r="B14" s="29" t="str">
        <f>KeyTable[[#This Row],[Class]]&amp;KeyTable[[#This Row],[Type]]</f>
        <v>BoxHd</v>
      </c>
      <c r="C14" t="s">
        <v>221</v>
      </c>
      <c r="D14" t="s">
        <v>238</v>
      </c>
      <c r="E14" t="s">
        <v>75</v>
      </c>
      <c r="F14" s="27" t="s">
        <v>42</v>
      </c>
      <c r="G14" s="27" t="s">
        <v>76</v>
      </c>
      <c r="H14" s="27" t="s">
        <v>81</v>
      </c>
      <c r="I14" s="5" t="str" cm="1">
        <f t="array" ref="I14" xml:space="preserve"> IF( OR(RIGHT(KeyTable[[#This Row],[StyleName]], 4) = "Date", RIGHT(KeyTable[[#This Row],[StyleName]], 3) = "Val"), FontTable[Mono], FontTable[Body])</f>
        <v>Bahnschrift</v>
      </c>
      <c r="J14" s="137" t="s">
        <v>78</v>
      </c>
      <c r="K14" s="139" t="s">
        <v>78</v>
      </c>
      <c r="L14" s="139"/>
      <c r="M14" s="137"/>
      <c r="N14" s="139"/>
      <c r="O14" s="140"/>
      <c r="P14" s="6" t="str" cm="1">
        <f t="array" ref="P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Q14" s="7" t="str" cm="1">
        <f t="array" ref="Q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4" s="10" t="str" cm="1">
        <f t="array" ref="R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4" t="b">
        <v>0</v>
      </c>
      <c r="W14" t="b" cm="1">
        <f t="array" aca="1" ref="W14" ca="1">AND(ConitionalTable[[#This Row],[Column1]]=BoolYes,ConitionalTable[[#This Row],[Column2]]&lt;&gt;"BadValue",OR(ConitionalTable[[#This Row],[Column3]]&gt;0, NOT(SampleOptionTable[UseCol3])))</f>
        <v>0</v>
      </c>
    </row>
    <row r="15" spans="1:25" x14ac:dyDescent="0.25">
      <c r="A15" s="30" t="s">
        <v>84</v>
      </c>
      <c r="B15" s="102" t="str">
        <f>KeyTable[[#This Row],[Class]]&amp;KeyTable[[#This Row],[Type]]</f>
        <v>BoxKey</v>
      </c>
      <c r="C15" t="s">
        <v>221</v>
      </c>
      <c r="D15" t="s">
        <v>239</v>
      </c>
      <c r="E15" s="31" t="s">
        <v>85</v>
      </c>
      <c r="F15" s="31" t="s">
        <v>86</v>
      </c>
      <c r="G15" s="31" t="s">
        <v>87</v>
      </c>
      <c r="H15" s="31" t="s">
        <v>88</v>
      </c>
      <c r="I15" s="5" t="str" cm="1">
        <f t="array" ref="I15" xml:space="preserve"> IF( OR(RIGHT(KeyTable[[#This Row],[StyleName]], 4) = "Date", RIGHT(KeyTable[[#This Row],[StyleName]], 3) = "Val"), FontTable[Mono], FontTable[Body])</f>
        <v>Bahnschrift</v>
      </c>
      <c r="J15" s="147" t="s">
        <v>78</v>
      </c>
      <c r="K15" s="148" t="s">
        <v>78</v>
      </c>
      <c r="L15" s="148"/>
      <c r="M15" s="147"/>
      <c r="N15" s="148" t="s">
        <v>79</v>
      </c>
      <c r="O15" s="140"/>
      <c r="P15" s="6" t="str" cm="1">
        <f t="array" ref="P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Q15" s="7" t="str" cm="1">
        <f t="array" ref="Q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5" s="10" t="str" cm="1">
        <f t="array" ref="R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5" t="b">
        <v>0</v>
      </c>
      <c r="W15" t="b" cm="1">
        <f t="array" aca="1" ref="W15" ca="1">AND(ConitionalTable[[#This Row],[Column1]]=BoolYes,ConitionalTable[[#This Row],[Column2]]&lt;&gt;"BadValue",OR(ConitionalTable[[#This Row],[Column3]]&gt;0, NOT(SampleOptionTable[UseCol3])))</f>
        <v>0</v>
      </c>
    </row>
    <row r="16" spans="1:25" x14ac:dyDescent="0.25">
      <c r="A16" s="32" t="s">
        <v>89</v>
      </c>
      <c r="B16" s="103" t="str">
        <f>KeyTable[[#This Row],[Class]]&amp;KeyTable[[#This Row],[Type]]</f>
        <v>BoxVal</v>
      </c>
      <c r="C16" t="s">
        <v>221</v>
      </c>
      <c r="D16" t="s">
        <v>240</v>
      </c>
      <c r="E16" t="s">
        <v>75</v>
      </c>
      <c r="F16" s="27" t="s">
        <v>86</v>
      </c>
      <c r="G16" s="27" t="s">
        <v>87</v>
      </c>
      <c r="H16" s="27" t="s">
        <v>88</v>
      </c>
      <c r="I16" s="5" t="str" cm="1">
        <f t="array" ref="I16" xml:space="preserve"> IF( OR(RIGHT(KeyTable[[#This Row],[StyleName]], 4) = "Date", RIGHT(KeyTable[[#This Row],[StyleName]], 3) = "Val"), FontTable[Mono], FontTable[Body])</f>
        <v>OCR A Extended</v>
      </c>
      <c r="J16" s="137" t="s">
        <v>78</v>
      </c>
      <c r="K16" s="139" t="s">
        <v>78</v>
      </c>
      <c r="L16" s="139"/>
      <c r="M16" s="137" t="s">
        <v>90</v>
      </c>
      <c r="N16" s="139" t="s">
        <v>79</v>
      </c>
      <c r="O16" s="140"/>
      <c r="P16" s="6" t="str" cm="1">
        <f t="array" ref="P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6" s="7" t="str" cm="1">
        <f t="array" ref="Q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6" s="10" t="str" cm="1">
        <f t="array" ref="R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6" t="b">
        <v>0</v>
      </c>
      <c r="W16" t="b" cm="1">
        <f t="array" aca="1" ref="W16" ca="1">AND(ConitionalTable[[#This Row],[Column1]]=BoolYes,ConitionalTable[[#This Row],[Column2]]&lt;&gt;"BadValue",OR(ConitionalTable[[#This Row],[Column3]]&gt;0, NOT(SampleOptionTable[UseCol3])))</f>
        <v>0</v>
      </c>
    </row>
    <row r="17" spans="1:23" x14ac:dyDescent="0.25">
      <c r="A17" s="33" t="s">
        <v>91</v>
      </c>
      <c r="B17" s="104" t="str">
        <f>KeyTable[[#This Row],[Class]]&amp;KeyTable[[#This Row],[Type]]</f>
        <v>BoxCell</v>
      </c>
      <c r="C17" t="s">
        <v>221</v>
      </c>
      <c r="D17" t="s">
        <v>241</v>
      </c>
      <c r="E17" s="31" t="s">
        <v>85</v>
      </c>
      <c r="F17" s="31" t="s">
        <v>86</v>
      </c>
      <c r="G17" s="31" t="s">
        <v>87</v>
      </c>
      <c r="H17" s="31" t="s">
        <v>88</v>
      </c>
      <c r="I17" s="5" t="str" cm="1">
        <f t="array" ref="I17" xml:space="preserve"> IF( OR(RIGHT(KeyTable[[#This Row],[StyleName]], 4) = "Date", RIGHT(KeyTable[[#This Row],[StyleName]], 3) = "Val"), FontTable[Mono], FontTable[Body])</f>
        <v>Bahnschrift</v>
      </c>
      <c r="J17" s="147" t="s">
        <v>78</v>
      </c>
      <c r="K17" s="148" t="s">
        <v>78</v>
      </c>
      <c r="L17" s="148"/>
      <c r="M17" s="147" t="s">
        <v>93</v>
      </c>
      <c r="N17" s="148" t="s">
        <v>79</v>
      </c>
      <c r="O17" s="140"/>
      <c r="P17" s="6" t="str" cm="1">
        <f t="array" ref="P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Q17" s="7" t="str" cm="1">
        <f t="array" ref="Q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7" s="10" t="str" cm="1">
        <f t="array" ref="R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7" t="b">
        <v>0</v>
      </c>
      <c r="W17" t="b" cm="1">
        <f t="array" aca="1" ref="W17" ca="1">AND(ConitionalTable[[#This Row],[Column1]]=BoolYes,ConitionalTable[[#This Row],[Column2]]&lt;&gt;"BadValue",OR(ConitionalTable[[#This Row],[Column3]]&gt;0, NOT(SampleOptionTable[UseCol3])))</f>
        <v>0</v>
      </c>
    </row>
    <row r="18" spans="1:23" ht="14.4" thickBot="1" x14ac:dyDescent="0.3">
      <c r="A18" s="34" t="s">
        <v>94</v>
      </c>
      <c r="B18" s="105" t="str">
        <f>KeyTable[[#This Row],[Class]]&amp;KeyTable[[#This Row],[Type]]</f>
        <v>ActBox</v>
      </c>
      <c r="C18" t="s">
        <v>232</v>
      </c>
      <c r="D18" t="s">
        <v>221</v>
      </c>
      <c r="E18" s="35" t="s">
        <v>95</v>
      </c>
      <c r="F18" s="35" t="s">
        <v>42</v>
      </c>
      <c r="G18" s="35" t="s">
        <v>96</v>
      </c>
      <c r="H18" s="13" t="s">
        <v>97</v>
      </c>
      <c r="I18" s="14" t="str" cm="1">
        <f t="array" ref="I18" xml:space="preserve"> IF( OR(RIGHT(KeyTable[[#This Row],[StyleName]], 4) = "Date", RIGHT(KeyTable[[#This Row],[StyleName]], 3) = "Val"), FontTable[Mono], FontTable[Body])</f>
        <v>Bahnschrift</v>
      </c>
      <c r="J18" s="149" t="s">
        <v>78</v>
      </c>
      <c r="K18" s="150" t="s">
        <v>78</v>
      </c>
      <c r="L18" s="150" t="s">
        <v>78</v>
      </c>
      <c r="M18" s="149" t="s">
        <v>90</v>
      </c>
      <c r="N18" s="150"/>
      <c r="O18" s="143"/>
      <c r="P18" s="36" t="str" cm="1">
        <f t="array" ref="P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8" s="16" t="str" cm="1">
        <f t="array" ref="Q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8" s="17" t="str" cm="1">
        <f t="array" ref="R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T18" t="b">
        <v>0</v>
      </c>
      <c r="W18" t="b" cm="1">
        <f t="array" aca="1" ref="W18" ca="1">AND(ConitionalTable[[#This Row],[Column1]]=BoolYes,ConitionalTable[[#This Row],[Column2]]&lt;&gt;"BadValue",OR(ConitionalTable[[#This Row],[Column3]]&gt;0, NOT(SampleOptionTable[UseCol3])))</f>
        <v>0</v>
      </c>
    </row>
    <row r="19" spans="1:23" x14ac:dyDescent="0.25">
      <c r="A19" s="37" t="s">
        <v>98</v>
      </c>
      <c r="B19" s="106" t="str">
        <f>KeyTable[[#This Row],[Class]]&amp;KeyTable[[#This Row],[Type]]</f>
        <v>InpHdKey</v>
      </c>
      <c r="C19" t="s">
        <v>231</v>
      </c>
      <c r="D19" t="s">
        <v>237</v>
      </c>
      <c r="E19" t="s">
        <v>41</v>
      </c>
      <c r="F19" t="s">
        <v>42</v>
      </c>
      <c r="G19" t="s">
        <v>76</v>
      </c>
      <c r="H19" t="s">
        <v>44</v>
      </c>
      <c r="I19" s="19" t="str" cm="1">
        <f t="array" ref="I19" xml:space="preserve"> IF( OR(RIGHT(KeyTable[[#This Row],[StyleName]], 4) = "Date", RIGHT(KeyTable[[#This Row],[StyleName]], 3) = "Val"), FontTable[Mono], FontTable[Body])</f>
        <v>Bahnschrift</v>
      </c>
      <c r="J19" s="137" t="s">
        <v>99</v>
      </c>
      <c r="K19" s="138" t="s">
        <v>99</v>
      </c>
      <c r="L19" s="138"/>
      <c r="M19" s="137"/>
      <c r="N19" s="139"/>
      <c r="O19" s="140"/>
      <c r="P19" s="20" t="str" cm="1">
        <f t="array" ref="P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Q19" s="21" t="str" cm="1">
        <f t="array" ref="Q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19" s="22" t="str" cm="1">
        <f t="array" ref="R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9" t="b">
        <v>0</v>
      </c>
      <c r="W19" t="b" cm="1">
        <f t="array" aca="1" ref="W19" ca="1">AND(ConitionalTable[[#This Row],[Column1]]=BoolYes,ConitionalTable[[#This Row],[Column2]]&lt;&gt;"BadValue",OR(ConitionalTable[[#This Row],[Column3]]&gt;0, NOT(SampleOptionTable[UseCol3])))</f>
        <v>0</v>
      </c>
    </row>
    <row r="20" spans="1:23" x14ac:dyDescent="0.25">
      <c r="A20" s="38" t="s">
        <v>100</v>
      </c>
      <c r="B20" s="107" t="str">
        <f>KeyTable[[#This Row],[Class]]&amp;KeyTable[[#This Row],[Type]]</f>
        <v>InpHd</v>
      </c>
      <c r="C20" t="s">
        <v>231</v>
      </c>
      <c r="D20" t="s">
        <v>238</v>
      </c>
      <c r="E20" t="s">
        <v>41</v>
      </c>
      <c r="F20" t="s">
        <v>42</v>
      </c>
      <c r="G20" t="s">
        <v>76</v>
      </c>
      <c r="H20" t="s">
        <v>44</v>
      </c>
      <c r="I20" s="5" t="str" cm="1">
        <f t="array" ref="I20" xml:space="preserve"> IF( OR(RIGHT(KeyTable[[#This Row],[StyleName]], 4) = "Date", RIGHT(KeyTable[[#This Row],[StyleName]], 3) = "Val"), FontTable[Mono], FontTable[Body])</f>
        <v>Bahnschrift</v>
      </c>
      <c r="J20" s="137" t="s">
        <v>99</v>
      </c>
      <c r="K20" s="138" t="s">
        <v>99</v>
      </c>
      <c r="L20" s="138"/>
      <c r="M20" s="137"/>
      <c r="N20" s="139"/>
      <c r="O20" s="140"/>
      <c r="P20" s="6" t="str" cm="1">
        <f t="array" ref="P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Q20" s="7" t="str" cm="1">
        <f t="array" ref="Q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20" s="10" t="str" cm="1">
        <f t="array" ref="R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0" t="b">
        <v>0</v>
      </c>
      <c r="W20" t="b" cm="1">
        <f t="array" aca="1" ref="W20" ca="1">AND(ConitionalTable[[#This Row],[Column1]]=BoolYes,ConitionalTable[[#This Row],[Column2]]&lt;&gt;"BadValue",OR(ConitionalTable[[#This Row],[Column3]]&gt;0, NOT(SampleOptionTable[UseCol3])))</f>
        <v>0</v>
      </c>
    </row>
    <row r="21" spans="1:23" x14ac:dyDescent="0.25">
      <c r="A21" s="39" t="s">
        <v>102</v>
      </c>
      <c r="B21" s="131" t="str">
        <f>KeyTable[[#This Row],[Class]]&amp;KeyTable[[#This Row],[Type]]</f>
        <v>InpKey</v>
      </c>
      <c r="C21" t="s">
        <v>231</v>
      </c>
      <c r="D21" t="s">
        <v>239</v>
      </c>
      <c r="E21" t="s">
        <v>103</v>
      </c>
      <c r="F21" t="s">
        <v>86</v>
      </c>
      <c r="G21" t="s">
        <v>87</v>
      </c>
      <c r="I21" s="5" t="str" cm="1">
        <f t="array" ref="I21" xml:space="preserve"> IF( OR(RIGHT(KeyTable[[#This Row],[StyleName]], 4) = "Date", RIGHT(KeyTable[[#This Row],[StyleName]], 3) = "Val"), FontTable[Mono], FontTable[Body])</f>
        <v>Bahnschrift</v>
      </c>
      <c r="J21" s="137" t="s">
        <v>50</v>
      </c>
      <c r="K21" s="138" t="s">
        <v>99</v>
      </c>
      <c r="L21" s="138"/>
      <c r="M21" s="137"/>
      <c r="N21" s="139"/>
      <c r="O21" s="140"/>
      <c r="P21" s="6" t="str" cm="1">
        <f t="array" ref="P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Q21" s="7" t="str" cm="1">
        <f t="array" ref="Q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1" s="10" t="str" cm="1">
        <f t="array" ref="R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21" t="b" cm="1">
        <f t="array" aca="1" ref="W21" ca="1">AND(ConitionalTable[[#This Row],[Column1]]=BoolYes,ConitionalTable[[#This Row],[Column2]]&lt;&gt;"BadValue",OR(ConitionalTable[[#This Row],[Column3]]&gt;0, NOT(SampleOptionTable[UseCol3])))</f>
        <v>0</v>
      </c>
    </row>
    <row r="22" spans="1:23" x14ac:dyDescent="0.25">
      <c r="A22" s="40" t="s">
        <v>104</v>
      </c>
      <c r="B22" s="132" t="str">
        <f>KeyTable[[#This Row],[Class]]&amp;KeyTable[[#This Row],[Type]]</f>
        <v>InpDate</v>
      </c>
      <c r="C22" t="s">
        <v>231</v>
      </c>
      <c r="D22" t="s">
        <v>242</v>
      </c>
      <c r="E22" t="s">
        <v>103</v>
      </c>
      <c r="F22" t="s">
        <v>86</v>
      </c>
      <c r="G22" t="s">
        <v>87</v>
      </c>
      <c r="H22" t="s">
        <v>105</v>
      </c>
      <c r="I22" s="5" t="str" cm="1">
        <f t="array" ref="I22" xml:space="preserve"> IF( OR(RIGHT(KeyTable[[#This Row],[StyleName]], 4) = "Date", RIGHT(KeyTable[[#This Row],[StyleName]], 3) = "Val"), FontTable[Mono], FontTable[Body])</f>
        <v>OCR A Extended</v>
      </c>
      <c r="J22" s="137" t="s">
        <v>50</v>
      </c>
      <c r="K22" s="138" t="s">
        <v>99</v>
      </c>
      <c r="L22" s="138"/>
      <c r="M22" s="137" t="s">
        <v>90</v>
      </c>
      <c r="N22" s="139"/>
      <c r="O22" s="140"/>
      <c r="P22" s="6" t="str" cm="1">
        <f t="array" ref="P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2" s="7" t="str" cm="1">
        <f t="array" ref="Q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2" s="10" t="str" cm="1">
        <f t="array" ref="R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3" x14ac:dyDescent="0.25">
      <c r="A23" s="41" t="s">
        <v>106</v>
      </c>
      <c r="B23" s="133" t="str">
        <f>KeyTable[[#This Row],[Class]]&amp;KeyTable[[#This Row],[Type]]</f>
        <v>InpVal</v>
      </c>
      <c r="C23" t="s">
        <v>231</v>
      </c>
      <c r="D23" t="s">
        <v>240</v>
      </c>
      <c r="E23" t="s">
        <v>103</v>
      </c>
      <c r="F23" t="s">
        <v>86</v>
      </c>
      <c r="G23" t="s">
        <v>87</v>
      </c>
      <c r="I23" s="5" t="str" cm="1">
        <f t="array" ref="I23" xml:space="preserve"> IF( OR(RIGHT(KeyTable[[#This Row],[StyleName]], 4) = "Date", RIGHT(KeyTable[[#This Row],[StyleName]], 3) = "Val"), FontTable[Mono], FontTable[Body])</f>
        <v>OCR A Extended</v>
      </c>
      <c r="J23" s="137" t="s">
        <v>50</v>
      </c>
      <c r="K23" s="138" t="s">
        <v>99</v>
      </c>
      <c r="L23" s="138"/>
      <c r="M23" s="137" t="s">
        <v>90</v>
      </c>
      <c r="N23" s="139"/>
      <c r="O23" s="140"/>
      <c r="P23" s="6" t="str" cm="1">
        <f t="array" ref="P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3" s="7" t="str" cm="1">
        <f t="array" ref="Q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3" s="10" t="str" cm="1">
        <f t="array" ref="R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3" x14ac:dyDescent="0.25">
      <c r="A24" s="42" t="s">
        <v>107</v>
      </c>
      <c r="B24" s="134" t="str">
        <f>KeyTable[[#This Row],[Class]]&amp;KeyTable[[#This Row],[Type]]</f>
        <v>InpCell</v>
      </c>
      <c r="C24" t="s">
        <v>231</v>
      </c>
      <c r="D24" t="s">
        <v>241</v>
      </c>
      <c r="E24" t="s">
        <v>103</v>
      </c>
      <c r="F24" t="s">
        <v>86</v>
      </c>
      <c r="G24" t="s">
        <v>87</v>
      </c>
      <c r="I24" s="5" t="str" cm="1">
        <f t="array" ref="I24" xml:space="preserve"> IF( OR(RIGHT(KeyTable[[#This Row],[StyleName]], 4) = "Date", RIGHT(KeyTable[[#This Row],[StyleName]], 3) = "Val"), FontTable[Mono], FontTable[Body])</f>
        <v>Bahnschrift</v>
      </c>
      <c r="J24" s="137" t="s">
        <v>50</v>
      </c>
      <c r="K24" s="138" t="s">
        <v>99</v>
      </c>
      <c r="L24" s="138"/>
      <c r="M24" s="137" t="s">
        <v>93</v>
      </c>
      <c r="N24" s="139"/>
      <c r="O24" s="140"/>
      <c r="P24" s="6" t="str" cm="1">
        <f t="array" ref="P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Q24" s="7" t="str" cm="1">
        <f t="array" ref="Q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4" s="10" t="str" cm="1">
        <f t="array" ref="R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3" ht="14.4" thickBot="1" x14ac:dyDescent="0.3">
      <c r="A25" s="43" t="s">
        <v>109</v>
      </c>
      <c r="B25" s="135" t="str">
        <f>KeyTable[[#This Row],[Class]]&amp;KeyTable[[#This Row],[Type]]</f>
        <v>ActMiss</v>
      </c>
      <c r="C25" t="s">
        <v>232</v>
      </c>
      <c r="D25" t="s">
        <v>246</v>
      </c>
      <c r="E25" s="13" t="s">
        <v>103</v>
      </c>
      <c r="F25" s="13" t="s">
        <v>86</v>
      </c>
      <c r="G25" s="13" t="s">
        <v>110</v>
      </c>
      <c r="H25" s="13" t="s">
        <v>73</v>
      </c>
      <c r="I25" s="14" t="str" cm="1">
        <f t="array" ref="I25" xml:space="preserve"> IF( OR(RIGHT(KeyTable[[#This Row],[StyleName]], 4) = "Date", RIGHT(KeyTable[[#This Row],[StyleName]], 3) = "Val"), FontTable[Mono], FontTable[Body])</f>
        <v>Bahnschrift</v>
      </c>
      <c r="J25" s="141" t="s">
        <v>99</v>
      </c>
      <c r="K25" s="142" t="s">
        <v>99</v>
      </c>
      <c r="L25" s="142" t="s">
        <v>99</v>
      </c>
      <c r="M25" s="141"/>
      <c r="N25" s="142"/>
      <c r="O25" s="143"/>
      <c r="P25" s="15" t="str" cm="1">
        <f t="array" ref="P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Q25" s="16" t="str" cm="1">
        <f t="array" ref="Q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R25" s="17" t="str" cm="1">
        <f t="array" ref="R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3" x14ac:dyDescent="0.25">
      <c r="A26" s="44" t="s">
        <v>111</v>
      </c>
      <c r="B26" s="108" t="str">
        <f>KeyTable[[#This Row],[Class]]&amp;KeyTable[[#This Row],[Type]]</f>
        <v>ErrHdKey</v>
      </c>
      <c r="C26" t="s">
        <v>233</v>
      </c>
      <c r="D26" t="s">
        <v>237</v>
      </c>
      <c r="E26" t="s">
        <v>41</v>
      </c>
      <c r="F26" t="s">
        <v>42</v>
      </c>
      <c r="G26" t="s">
        <v>76</v>
      </c>
      <c r="H26" t="s">
        <v>66</v>
      </c>
      <c r="I26" s="19" t="str" cm="1">
        <f t="array" ref="I26" xml:space="preserve"> IF( OR(RIGHT(KeyTable[[#This Row],[StyleName]], 4) = "Date", RIGHT(KeyTable[[#This Row],[StyleName]], 3) = "Val"), FontTable[Mono], FontTable[Body])</f>
        <v>Bahnschrift</v>
      </c>
      <c r="J26" s="137" t="s">
        <v>112</v>
      </c>
      <c r="K26" s="138" t="s">
        <v>112</v>
      </c>
      <c r="L26" s="138"/>
      <c r="M26" s="144"/>
      <c r="N26" s="145"/>
      <c r="O26" s="146"/>
      <c r="P26" s="20" t="str" cm="1">
        <f t="array" ref="P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Q26" s="21" t="str" cm="1">
        <f t="array" ref="Q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6" s="22" t="str" cm="1">
        <f t="array" ref="R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3" x14ac:dyDescent="0.25">
      <c r="A27" s="45" t="s">
        <v>113</v>
      </c>
      <c r="B27" s="109" t="str">
        <f>KeyTable[[#This Row],[Class]]&amp;KeyTable[[#This Row],[Type]]</f>
        <v>ErrHd</v>
      </c>
      <c r="C27" t="s">
        <v>233</v>
      </c>
      <c r="D27" t="s">
        <v>238</v>
      </c>
      <c r="E27" t="s">
        <v>115</v>
      </c>
      <c r="F27" t="s">
        <v>42</v>
      </c>
      <c r="G27" t="s">
        <v>116</v>
      </c>
      <c r="H27" t="s">
        <v>44</v>
      </c>
      <c r="I27" s="5" t="str" cm="1">
        <f t="array" ref="I27" xml:space="preserve"> IF( OR(RIGHT(KeyTable[[#This Row],[StyleName]], 4) = "Date", RIGHT(KeyTable[[#This Row],[StyleName]], 3) = "Val"), FontTable[Mono], FontTable[Body])</f>
        <v>Bahnschrift</v>
      </c>
      <c r="J27" s="137" t="s">
        <v>112</v>
      </c>
      <c r="K27" s="138" t="s">
        <v>112</v>
      </c>
      <c r="L27" s="138"/>
      <c r="M27" s="137"/>
      <c r="N27" s="139"/>
      <c r="O27" s="140"/>
      <c r="P27" s="6" t="str" cm="1">
        <f t="array" ref="P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Q27" s="7" t="str" cm="1">
        <f t="array" ref="Q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7" s="10" t="str" cm="1">
        <f t="array" ref="R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3" x14ac:dyDescent="0.25">
      <c r="A28" s="46" t="s">
        <v>117</v>
      </c>
      <c r="B28" s="110" t="str">
        <f>KeyTable[[#This Row],[Class]]&amp;KeyTable[[#This Row],[Type]]</f>
        <v>ErrKey</v>
      </c>
      <c r="C28" t="s">
        <v>233</v>
      </c>
      <c r="D28" t="s">
        <v>239</v>
      </c>
      <c r="E28" t="s">
        <v>54</v>
      </c>
      <c r="F28" t="s">
        <v>42</v>
      </c>
      <c r="G28" t="s">
        <v>118</v>
      </c>
      <c r="I28" s="5" t="str" cm="1">
        <f t="array" ref="I28" xml:space="preserve"> IF( OR(RIGHT(KeyTable[[#This Row],[StyleName]], 4) = "Date", RIGHT(KeyTable[[#This Row],[StyleName]], 3) = "Val"), FontTable[Mono], FontTable[Body])</f>
        <v>Bahnschrift</v>
      </c>
      <c r="J28" s="151" t="s">
        <v>50</v>
      </c>
      <c r="K28" s="138" t="s">
        <v>112</v>
      </c>
      <c r="L28" s="138"/>
      <c r="M28" s="137"/>
      <c r="N28" s="139"/>
      <c r="O28" s="140"/>
      <c r="P28" s="6" t="str" cm="1">
        <f t="array" ref="P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Q28" s="7" t="str" cm="1">
        <f t="array" ref="Q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8" s="10" t="str" cm="1">
        <f t="array" ref="R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3" x14ac:dyDescent="0.25">
      <c r="A29" s="47" t="s">
        <v>119</v>
      </c>
      <c r="B29" s="111" t="str">
        <f>KeyTable[[#This Row],[Class]]&amp;KeyTable[[#This Row],[Type]]</f>
        <v>ErrVal</v>
      </c>
      <c r="C29" t="s">
        <v>233</v>
      </c>
      <c r="D29" t="s">
        <v>240</v>
      </c>
      <c r="E29" t="s">
        <v>54</v>
      </c>
      <c r="F29" t="s">
        <v>42</v>
      </c>
      <c r="G29" t="s">
        <v>120</v>
      </c>
      <c r="I29" s="5" t="str" cm="1">
        <f t="array" ref="I29" xml:space="preserve"> IF( OR(RIGHT(KeyTable[[#This Row],[StyleName]], 4) = "Date", RIGHT(KeyTable[[#This Row],[StyleName]], 3) = "Val"), FontTable[Mono], FontTable[Body])</f>
        <v>OCR A Extended</v>
      </c>
      <c r="J29" s="151" t="s">
        <v>50</v>
      </c>
      <c r="K29" s="138" t="s">
        <v>112</v>
      </c>
      <c r="L29" s="138"/>
      <c r="M29" s="137" t="s">
        <v>90</v>
      </c>
      <c r="N29" s="139"/>
      <c r="O29" s="140"/>
      <c r="P29" s="6" t="str" cm="1">
        <f t="array" ref="P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29" s="7" t="str" cm="1">
        <f t="array" ref="Q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9" s="10" t="str" cm="1">
        <f t="array" ref="R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3" x14ac:dyDescent="0.25">
      <c r="A30" s="48" t="s">
        <v>121</v>
      </c>
      <c r="B30" s="112" t="str">
        <f>KeyTable[[#This Row],[Class]]&amp;KeyTable[[#This Row],[Type]]</f>
        <v>ErrCell</v>
      </c>
      <c r="C30" t="s">
        <v>233</v>
      </c>
      <c r="D30" t="s">
        <v>241</v>
      </c>
      <c r="E30" t="s">
        <v>54</v>
      </c>
      <c r="F30" t="s">
        <v>42</v>
      </c>
      <c r="G30" t="s">
        <v>120</v>
      </c>
      <c r="I30" s="5" t="str" cm="1">
        <f t="array" ref="I30" xml:space="preserve"> IF( OR(RIGHT(KeyTable[[#This Row],[StyleName]], 4) = "Date", RIGHT(KeyTable[[#This Row],[StyleName]], 3) = "Val"), FontTable[Mono], FontTable[Body])</f>
        <v>Bahnschrift</v>
      </c>
      <c r="J30" s="151" t="s">
        <v>50</v>
      </c>
      <c r="K30" s="138" t="s">
        <v>112</v>
      </c>
      <c r="L30" s="138"/>
      <c r="M30" s="137" t="s">
        <v>93</v>
      </c>
      <c r="N30" s="139"/>
      <c r="O30" s="140"/>
      <c r="P30" s="6" t="str" cm="1">
        <f t="array" ref="P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Q30" s="7" t="str" cm="1">
        <f t="array" ref="Q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0" s="10" t="str" cm="1">
        <f t="array" ref="R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3" ht="14.4" thickBot="1" x14ac:dyDescent="0.3">
      <c r="A31" s="49" t="s">
        <v>123</v>
      </c>
      <c r="B31" s="113" t="str">
        <f>KeyTable[[#This Row],[Class]]&amp;KeyTable[[#This Row],[Type]]</f>
        <v>ActError</v>
      </c>
      <c r="C31" t="s">
        <v>232</v>
      </c>
      <c r="D31" t="s">
        <v>206</v>
      </c>
      <c r="E31" s="13" t="s">
        <v>124</v>
      </c>
      <c r="F31" s="13" t="s">
        <v>86</v>
      </c>
      <c r="G31" s="13" t="s">
        <v>125</v>
      </c>
      <c r="H31" s="13" t="s">
        <v>73</v>
      </c>
      <c r="I31" s="14" t="str" cm="1">
        <f t="array" ref="I31" xml:space="preserve"> IF( OR(RIGHT(KeyTable[[#This Row],[StyleName]], 4) = "Date", RIGHT(KeyTable[[#This Row],[StyleName]], 3) = "Val"), FontTable[Mono], FontTable[Body])</f>
        <v>Bahnschrift</v>
      </c>
      <c r="J31" s="141" t="s">
        <v>112</v>
      </c>
      <c r="K31" s="142" t="s">
        <v>112</v>
      </c>
      <c r="L31" s="142" t="s">
        <v>112</v>
      </c>
      <c r="M31" s="141" t="s">
        <v>90</v>
      </c>
      <c r="N31" s="142"/>
      <c r="O31" s="143"/>
      <c r="P31" s="15" t="str" cm="1">
        <f t="array" ref="P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31" s="16" t="str" cm="1">
        <f t="array" ref="Q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R31" s="17" t="str" cm="1">
        <f t="array" ref="R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3" x14ac:dyDescent="0.25">
      <c r="A32" s="50" t="s">
        <v>126</v>
      </c>
      <c r="B32" s="114" t="str">
        <f>KeyTable[[#This Row],[Class]]&amp;KeyTable[[#This Row],[Type]]</f>
        <v>LkpHdKey</v>
      </c>
      <c r="C32" t="s">
        <v>234</v>
      </c>
      <c r="D32" t="s">
        <v>237</v>
      </c>
      <c r="E32" t="s">
        <v>41</v>
      </c>
      <c r="F32" t="s">
        <v>42</v>
      </c>
      <c r="G32" t="s">
        <v>76</v>
      </c>
      <c r="H32" t="s">
        <v>44</v>
      </c>
      <c r="I32" s="19" t="str" cm="1">
        <f t="array" ref="I32" xml:space="preserve"> IF( OR(RIGHT(KeyTable[[#This Row],[StyleName]], 4) = "Date", RIGHT(KeyTable[[#This Row],[StyleName]], 3) = "Val"), FontTable[Mono], FontTable[Body])</f>
        <v>Bahnschrift</v>
      </c>
      <c r="J32" s="137" t="s">
        <v>127</v>
      </c>
      <c r="K32" s="138" t="s">
        <v>127</v>
      </c>
      <c r="L32" s="138"/>
      <c r="M32" s="144"/>
      <c r="N32" s="145"/>
      <c r="O32" s="146"/>
      <c r="P32" s="20" t="str" cm="1">
        <f t="array" ref="P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Q32" s="21" t="str" cm="1">
        <f t="array" ref="Q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2" s="22" t="str" cm="1">
        <f t="array" ref="R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8" x14ac:dyDescent="0.25">
      <c r="A33" s="51" t="s">
        <v>128</v>
      </c>
      <c r="B33" s="115" t="str">
        <f>KeyTable[[#This Row],[Class]]&amp;KeyTable[[#This Row],[Type]]</f>
        <v>LkpHd</v>
      </c>
      <c r="C33" t="s">
        <v>234</v>
      </c>
      <c r="D33" t="s">
        <v>238</v>
      </c>
      <c r="E33" t="s">
        <v>41</v>
      </c>
      <c r="F33" t="s">
        <v>42</v>
      </c>
      <c r="G33" t="s">
        <v>76</v>
      </c>
      <c r="H33" t="s">
        <v>44</v>
      </c>
      <c r="I33" s="5" t="str" cm="1">
        <f t="array" ref="I33" xml:space="preserve"> IF( OR(RIGHT(KeyTable[[#This Row],[StyleName]], 4) = "Date", RIGHT(KeyTable[[#This Row],[StyleName]], 3) = "Val"), FontTable[Mono], FontTable[Body])</f>
        <v>Bahnschrift</v>
      </c>
      <c r="J33" s="137" t="s">
        <v>127</v>
      </c>
      <c r="K33" s="138" t="s">
        <v>127</v>
      </c>
      <c r="L33" s="138"/>
      <c r="M33" s="137"/>
      <c r="N33" s="139"/>
      <c r="O33" s="140"/>
      <c r="P33" s="6" t="str" cm="1">
        <f t="array" ref="P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Q33" s="7" t="str" cm="1">
        <f t="array" ref="Q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3" s="10" t="str" cm="1">
        <f t="array" ref="R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8" x14ac:dyDescent="0.25">
      <c r="A34" s="52" t="s">
        <v>130</v>
      </c>
      <c r="B34" s="116" t="str">
        <f>KeyTable[[#This Row],[Class]]&amp;KeyTable[[#This Row],[Type]]</f>
        <v>LkpKey</v>
      </c>
      <c r="C34" t="s">
        <v>234</v>
      </c>
      <c r="D34" t="s">
        <v>239</v>
      </c>
      <c r="E34" t="s">
        <v>131</v>
      </c>
      <c r="F34" t="s">
        <v>42</v>
      </c>
      <c r="G34" s="27" t="s">
        <v>132</v>
      </c>
      <c r="I34" s="5" t="str" cm="1">
        <f t="array" ref="I34" xml:space="preserve"> IF( OR(RIGHT(KeyTable[[#This Row],[StyleName]], 4) = "Date", RIGHT(KeyTable[[#This Row],[StyleName]], 3) = "Val"), FontTable[Mono], FontTable[Body])</f>
        <v>Bahnschrift</v>
      </c>
      <c r="J34" s="151" t="s">
        <v>50</v>
      </c>
      <c r="K34" s="138" t="s">
        <v>127</v>
      </c>
      <c r="L34" s="138"/>
      <c r="M34" s="137"/>
      <c r="N34" s="139"/>
      <c r="O34" s="140"/>
      <c r="P34" s="6" t="str" cm="1">
        <f t="array" ref="P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Q34" s="7" t="str" cm="1">
        <f t="array" ref="Q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4" s="10" t="str" cm="1">
        <f t="array" ref="R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8" x14ac:dyDescent="0.25">
      <c r="A35" s="53" t="s">
        <v>133</v>
      </c>
      <c r="B35" s="117" t="str">
        <f>KeyTable[[#This Row],[Class]]&amp;KeyTable[[#This Row],[Type]]</f>
        <v>LkpDate</v>
      </c>
      <c r="C35" t="s">
        <v>234</v>
      </c>
      <c r="D35" t="s">
        <v>242</v>
      </c>
      <c r="E35" t="s">
        <v>131</v>
      </c>
      <c r="F35" t="s">
        <v>42</v>
      </c>
      <c r="G35" t="s">
        <v>134</v>
      </c>
      <c r="H35" t="s">
        <v>105</v>
      </c>
      <c r="I35" s="5" t="str" cm="1">
        <f t="array" ref="I35" xml:space="preserve"> IF( OR(RIGHT(KeyTable[[#This Row],[StyleName]], 4) = "Date", RIGHT(KeyTable[[#This Row],[StyleName]], 3) = "Val"), FontTable[Mono], FontTable[Body])</f>
        <v>OCR A Extended</v>
      </c>
      <c r="J35" s="151" t="s">
        <v>50</v>
      </c>
      <c r="K35" s="138" t="s">
        <v>127</v>
      </c>
      <c r="L35" s="138"/>
      <c r="M35" s="137" t="s">
        <v>90</v>
      </c>
      <c r="N35" s="139"/>
      <c r="O35" s="140"/>
      <c r="P35" s="6" t="str" cm="1">
        <f t="array" ref="P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5" s="7" t="str" cm="1">
        <f t="array" ref="Q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5" s="10" t="str" cm="1">
        <f t="array" ref="R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8" x14ac:dyDescent="0.25">
      <c r="A36" s="54" t="s">
        <v>135</v>
      </c>
      <c r="B36" s="118" t="str">
        <f>KeyTable[[#This Row],[Class]]&amp;KeyTable[[#This Row],[Type]]</f>
        <v>LkpVal</v>
      </c>
      <c r="C36" t="s">
        <v>234</v>
      </c>
      <c r="D36" t="s">
        <v>240</v>
      </c>
      <c r="E36" t="s">
        <v>131</v>
      </c>
      <c r="F36" t="s">
        <v>42</v>
      </c>
      <c r="G36" t="s">
        <v>134</v>
      </c>
      <c r="I36" s="5" t="str" cm="1">
        <f t="array" ref="I36" xml:space="preserve"> IF( OR(RIGHT(KeyTable[[#This Row],[StyleName]], 4) = "Date", RIGHT(KeyTable[[#This Row],[StyleName]], 3) = "Val"), FontTable[Mono], FontTable[Body])</f>
        <v>OCR A Extended</v>
      </c>
      <c r="J36" s="151" t="s">
        <v>50</v>
      </c>
      <c r="K36" s="138" t="s">
        <v>127</v>
      </c>
      <c r="L36" s="138"/>
      <c r="M36" s="137" t="s">
        <v>90</v>
      </c>
      <c r="N36" s="139"/>
      <c r="O36" s="140"/>
      <c r="P36" s="6" t="str" cm="1">
        <f t="array" ref="P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6" s="7" t="str" cm="1">
        <f t="array" ref="Q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6" s="10" t="str" cm="1">
        <f t="array" ref="R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8" x14ac:dyDescent="0.25">
      <c r="A37" s="55" t="s">
        <v>136</v>
      </c>
      <c r="B37" s="55" t="str">
        <f>KeyTable[[#This Row],[Class]]&amp;KeyTable[[#This Row],[Type]]</f>
        <v>LkpCell</v>
      </c>
      <c r="C37" t="s">
        <v>234</v>
      </c>
      <c r="D37" t="s">
        <v>241</v>
      </c>
      <c r="E37" t="s">
        <v>131</v>
      </c>
      <c r="F37" t="s">
        <v>42</v>
      </c>
      <c r="G37" s="27" t="s">
        <v>132</v>
      </c>
      <c r="I37" s="5" t="str" cm="1">
        <f t="array" ref="I37" xml:space="preserve"> IF( OR(RIGHT(KeyTable[[#This Row],[StyleName]], 4) = "Date", RIGHT(KeyTable[[#This Row],[StyleName]], 3) = "Val"), FontTable[Mono], FontTable[Body])</f>
        <v>Bahnschrift</v>
      </c>
      <c r="J37" s="151" t="s">
        <v>50</v>
      </c>
      <c r="K37" s="138" t="s">
        <v>127</v>
      </c>
      <c r="L37" s="138"/>
      <c r="M37" s="137" t="s">
        <v>93</v>
      </c>
      <c r="N37" s="139"/>
      <c r="O37" s="140"/>
      <c r="P37" s="6" t="str" cm="1">
        <f t="array" ref="P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Q37" s="7" t="str" cm="1">
        <f t="array" ref="Q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7" s="10" t="str" cm="1">
        <f t="array" ref="R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8" ht="14.4" thickBot="1" x14ac:dyDescent="0.3">
      <c r="A38" s="56" t="s">
        <v>138</v>
      </c>
      <c r="B38" s="136" t="str">
        <f>KeyTable[[#This Row],[Class]]&amp;KeyTable[[#This Row],[Type]]</f>
        <v>ActFind</v>
      </c>
      <c r="C38" t="s">
        <v>232</v>
      </c>
      <c r="D38" t="s">
        <v>243</v>
      </c>
      <c r="E38" s="13" t="s">
        <v>131</v>
      </c>
      <c r="F38" s="13" t="s">
        <v>42</v>
      </c>
      <c r="G38" s="13" t="s">
        <v>132</v>
      </c>
      <c r="H38" s="13" t="s">
        <v>73</v>
      </c>
      <c r="I38" s="14" t="str" cm="1">
        <f t="array" ref="I38" xml:space="preserve"> IF( OR(RIGHT(KeyTable[[#This Row],[StyleName]], 4) = "Date", RIGHT(KeyTable[[#This Row],[StyleName]], 3) = "Val"), FontTable[Mono], FontTable[Body])</f>
        <v>Bahnschrift</v>
      </c>
      <c r="J38" s="141" t="s">
        <v>127</v>
      </c>
      <c r="K38" s="142" t="s">
        <v>127</v>
      </c>
      <c r="L38" s="142" t="s">
        <v>127</v>
      </c>
      <c r="M38" s="141"/>
      <c r="N38" s="142"/>
      <c r="O38" s="143"/>
      <c r="P38" s="15" t="str" cm="1">
        <f t="array" ref="P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Q38" s="16" t="str" cm="1">
        <f t="array" ref="Q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R38" s="17" t="str" cm="1">
        <f t="array" ref="R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8" x14ac:dyDescent="0.25">
      <c r="A39" s="57" t="s">
        <v>139</v>
      </c>
      <c r="B39" s="119" t="str">
        <f>KeyTable[[#This Row],[Class]]&amp;KeyTable[[#This Row],[Type]]</f>
        <v>QueHdKey</v>
      </c>
      <c r="C39" t="s">
        <v>235</v>
      </c>
      <c r="D39" t="s">
        <v>237</v>
      </c>
      <c r="E39" t="s">
        <v>41</v>
      </c>
      <c r="F39" t="s">
        <v>42</v>
      </c>
      <c r="G39" t="s">
        <v>76</v>
      </c>
      <c r="H39" t="s">
        <v>44</v>
      </c>
      <c r="I39" s="19" t="str" cm="1">
        <f t="array" ref="I39" xml:space="preserve"> IF( OR(RIGHT(KeyTable[[#This Row],[StyleName]], 4) = "Date", RIGHT(KeyTable[[#This Row],[StyleName]], 3) = "Val"), FontTable[Mono], FontTable[Body])</f>
        <v>Bahnschrift</v>
      </c>
      <c r="J39" s="137" t="s">
        <v>140</v>
      </c>
      <c r="K39" s="138" t="s">
        <v>140</v>
      </c>
      <c r="L39" s="138"/>
      <c r="M39" s="144"/>
      <c r="N39" s="145"/>
      <c r="O39" s="146"/>
      <c r="P39" s="20" t="str" cm="1">
        <f t="array" ref="P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Q39" s="21" t="str" cm="1">
        <f t="array" ref="Q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39" s="22" t="str" cm="1">
        <f t="array" ref="R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8" x14ac:dyDescent="0.25">
      <c r="A40" s="58" t="s">
        <v>141</v>
      </c>
      <c r="B40" s="120" t="str">
        <f>KeyTable[[#This Row],[Class]]&amp;KeyTable[[#This Row],[Type]]</f>
        <v>QueHd</v>
      </c>
      <c r="C40" t="s">
        <v>235</v>
      </c>
      <c r="D40" t="s">
        <v>238</v>
      </c>
      <c r="E40" t="s">
        <v>41</v>
      </c>
      <c r="F40" t="s">
        <v>42</v>
      </c>
      <c r="G40" t="s">
        <v>76</v>
      </c>
      <c r="H40" t="s">
        <v>44</v>
      </c>
      <c r="I40" s="5" t="str" cm="1">
        <f t="array" ref="I40" xml:space="preserve"> IF( OR(RIGHT(KeyTable[[#This Row],[StyleName]], 4) = "Date", RIGHT(KeyTable[[#This Row],[StyleName]], 3) = "Val"), FontTable[Mono], FontTable[Body])</f>
        <v>Bahnschrift</v>
      </c>
      <c r="J40" s="137" t="s">
        <v>140</v>
      </c>
      <c r="K40" s="138" t="s">
        <v>140</v>
      </c>
      <c r="L40" s="138"/>
      <c r="M40" s="137"/>
      <c r="N40" s="139"/>
      <c r="O40" s="140"/>
      <c r="P40" s="6" t="str" cm="1">
        <f t="array" ref="P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Q40" s="7" t="str" cm="1">
        <f t="array" ref="Q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40" s="10" t="str" cm="1">
        <f t="array" ref="R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8" x14ac:dyDescent="0.25">
      <c r="A41" s="59" t="s">
        <v>143</v>
      </c>
      <c r="B41" s="121" t="str">
        <f>KeyTable[[#This Row],[Class]]&amp;KeyTable[[#This Row],[Type]]</f>
        <v>QueKey</v>
      </c>
      <c r="C41" t="s">
        <v>235</v>
      </c>
      <c r="D41" t="s">
        <v>239</v>
      </c>
      <c r="E41" t="s">
        <v>54</v>
      </c>
      <c r="F41" t="s">
        <v>42</v>
      </c>
      <c r="G41" t="s">
        <v>144</v>
      </c>
      <c r="I41" s="5" t="str" cm="1">
        <f t="array" ref="I41" xml:space="preserve"> IF( OR(RIGHT(KeyTable[[#This Row],[StyleName]], 4) = "Date", RIGHT(KeyTable[[#This Row],[StyleName]], 3) = "Val"), FontTable[Mono], FontTable[Body])</f>
        <v>Bahnschrift</v>
      </c>
      <c r="J41" s="151" t="s">
        <v>50</v>
      </c>
      <c r="K41" s="138" t="s">
        <v>140</v>
      </c>
      <c r="L41" s="138"/>
      <c r="M41" s="137"/>
      <c r="N41" s="139"/>
      <c r="O41" s="140"/>
      <c r="P41" s="6" t="str" cm="1">
        <f t="array" ref="P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1" s="7" t="str" cm="1">
        <f t="array" ref="Q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1" s="10" t="str" cm="1">
        <f t="array" ref="R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8" x14ac:dyDescent="0.25">
      <c r="A42" s="60" t="s">
        <v>145</v>
      </c>
      <c r="B42" s="122" t="str">
        <f>KeyTable[[#This Row],[Class]]&amp;KeyTable[[#This Row],[Type]]</f>
        <v>QueVal</v>
      </c>
      <c r="C42" t="s">
        <v>235</v>
      </c>
      <c r="D42" t="s">
        <v>240</v>
      </c>
      <c r="E42" t="s">
        <v>54</v>
      </c>
      <c r="F42" t="s">
        <v>42</v>
      </c>
      <c r="G42" t="s">
        <v>144</v>
      </c>
      <c r="I42" s="5" t="str" cm="1">
        <f t="array" ref="I42" xml:space="preserve"> IF( OR(RIGHT(KeyTable[[#This Row],[StyleName]], 4) = "Date", RIGHT(KeyTable[[#This Row],[StyleName]], 3) = "Val"), FontTable[Mono], FontTable[Body])</f>
        <v>OCR A Extended</v>
      </c>
      <c r="J42" s="151" t="s">
        <v>50</v>
      </c>
      <c r="K42" s="138" t="s">
        <v>140</v>
      </c>
      <c r="L42" s="138"/>
      <c r="M42" s="137" t="s">
        <v>90</v>
      </c>
      <c r="N42" s="139"/>
      <c r="O42" s="140"/>
      <c r="P42" s="6" t="str" cm="1">
        <f t="array" ref="P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Q42" s="7" t="str" cm="1">
        <f t="array" ref="Q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2" s="10" t="str" cm="1">
        <f t="array" ref="R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8" x14ac:dyDescent="0.25">
      <c r="A43" s="61" t="s">
        <v>146</v>
      </c>
      <c r="B43" s="123" t="str">
        <f>KeyTable[[#This Row],[Class]]&amp;KeyTable[[#This Row],[Type]]</f>
        <v>QueCell</v>
      </c>
      <c r="C43" t="s">
        <v>235</v>
      </c>
      <c r="D43" t="s">
        <v>241</v>
      </c>
      <c r="E43" t="s">
        <v>54</v>
      </c>
      <c r="F43" t="s">
        <v>42</v>
      </c>
      <c r="G43" t="s">
        <v>144</v>
      </c>
      <c r="I43" s="5" t="str" cm="1">
        <f t="array" ref="I43" xml:space="preserve"> IF( OR(RIGHT(KeyTable[[#This Row],[StyleName]], 4) = "Date", RIGHT(KeyTable[[#This Row],[StyleName]], 3) = "Val"), FontTable[Mono], FontTable[Body])</f>
        <v>Bahnschrift</v>
      </c>
      <c r="J43" s="151" t="s">
        <v>50</v>
      </c>
      <c r="K43" s="138" t="s">
        <v>140</v>
      </c>
      <c r="L43" s="138"/>
      <c r="M43" s="137" t="s">
        <v>93</v>
      </c>
      <c r="N43" s="139"/>
      <c r="O43" s="140"/>
      <c r="P43" s="6" t="str" cm="1">
        <f t="array" ref="P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Q43" s="7" t="str" cm="1">
        <f t="array" ref="Q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3" s="10" t="str" cm="1">
        <f t="array" ref="R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8" ht="14.4" thickBot="1" x14ac:dyDescent="0.3">
      <c r="A44" s="62" t="s">
        <v>148</v>
      </c>
      <c r="B44" s="124" t="str">
        <f>KeyTable[[#This Row],[Class]]&amp;KeyTable[[#This Row],[Type]]</f>
        <v>ActGood</v>
      </c>
      <c r="C44" s="13" t="s">
        <v>232</v>
      </c>
      <c r="D44" s="13" t="s">
        <v>244</v>
      </c>
      <c r="E44" s="13" t="s">
        <v>54</v>
      </c>
      <c r="F44" s="13" t="s">
        <v>42</v>
      </c>
      <c r="G44" s="13" t="s">
        <v>144</v>
      </c>
      <c r="H44" s="13" t="s">
        <v>73</v>
      </c>
      <c r="I44" s="14" t="str" cm="1">
        <f t="array" ref="I44" xml:space="preserve"> IF( OR(RIGHT(KeyTable[[#This Row],[StyleName]], 4) = "Date", RIGHT(KeyTable[[#This Row],[StyleName]], 3) = "Val"), FontTable[Mono], FontTable[Body])</f>
        <v>Bahnschrift</v>
      </c>
      <c r="J44" s="141" t="s">
        <v>140</v>
      </c>
      <c r="K44" s="142" t="s">
        <v>140</v>
      </c>
      <c r="L44" s="142" t="s">
        <v>140</v>
      </c>
      <c r="M44" s="141" t="s">
        <v>149</v>
      </c>
      <c r="N44" s="142"/>
      <c r="O44" s="143"/>
      <c r="P44" s="15" t="str" cm="1">
        <f t="array" ref="P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4" s="16" t="str" cm="1">
        <f t="array" ref="Q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R44" s="17" t="str" cm="1">
        <f t="array" ref="R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8" x14ac:dyDescent="0.25">
      <c r="A45" s="63" t="s">
        <v>150</v>
      </c>
      <c r="B45" s="125" t="str">
        <f>KeyTable[[#This Row],[Class]]&amp;KeyTable[[#This Row],[Type]]</f>
        <v>IntHdKey</v>
      </c>
      <c r="C45" t="s">
        <v>236</v>
      </c>
      <c r="D45" t="s">
        <v>237</v>
      </c>
      <c r="E45" t="s">
        <v>41</v>
      </c>
      <c r="F45" t="s">
        <v>42</v>
      </c>
      <c r="G45" t="s">
        <v>151</v>
      </c>
      <c r="H45" t="s">
        <v>44</v>
      </c>
      <c r="I45" s="19" t="str" cm="1">
        <f t="array" ref="I45" xml:space="preserve"> IF( OR(RIGHT(KeyTable[[#This Row],[StyleName]], 4) = "Date", RIGHT(KeyTable[[#This Row],[StyleName]], 3) = "Val"), FontTable[Mono], FontTable[Body])</f>
        <v>Bahnschrift</v>
      </c>
      <c r="J45" s="137" t="s">
        <v>152</v>
      </c>
      <c r="K45" s="138" t="s">
        <v>152</v>
      </c>
      <c r="L45" s="138"/>
      <c r="M45" s="144"/>
      <c r="N45" s="145"/>
      <c r="O45" s="146"/>
      <c r="P45" s="20" t="str" cm="1">
        <f t="array" ref="P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Q45" s="21" t="str" cm="1">
        <f t="array" ref="Q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5" s="22" t="str" cm="1">
        <f t="array" ref="R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8" x14ac:dyDescent="0.25">
      <c r="A46" s="64" t="s">
        <v>153</v>
      </c>
      <c r="B46" s="126" t="str">
        <f>KeyTable[[#This Row],[Class]]&amp;KeyTable[[#This Row],[Type]]</f>
        <v>IntHd</v>
      </c>
      <c r="C46" t="s">
        <v>236</v>
      </c>
      <c r="D46" t="s">
        <v>238</v>
      </c>
      <c r="E46" t="s">
        <v>41</v>
      </c>
      <c r="F46" t="s">
        <v>42</v>
      </c>
      <c r="G46" t="s">
        <v>151</v>
      </c>
      <c r="H46" t="s">
        <v>44</v>
      </c>
      <c r="I46" s="5" t="str" cm="1">
        <f t="array" ref="I46" xml:space="preserve"> IF( OR(RIGHT(KeyTable[[#This Row],[StyleName]], 4) = "Date", RIGHT(KeyTable[[#This Row],[StyleName]], 3) = "Val"), FontTable[Mono], FontTable[Body])</f>
        <v>Bahnschrift</v>
      </c>
      <c r="J46" s="137" t="s">
        <v>152</v>
      </c>
      <c r="K46" s="138" t="s">
        <v>152</v>
      </c>
      <c r="L46" s="138"/>
      <c r="M46" s="137"/>
      <c r="N46" s="139"/>
      <c r="O46" s="140"/>
      <c r="P46" s="6" t="str" cm="1">
        <f t="array" ref="P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Q46" s="7" t="str" cm="1">
        <f t="array" ref="Q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6" s="10" t="str" cm="1">
        <f t="array" ref="R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8" x14ac:dyDescent="0.25">
      <c r="A47" s="65" t="s">
        <v>155</v>
      </c>
      <c r="B47" s="127" t="str">
        <f>KeyTable[[#This Row],[Class]]&amp;KeyTable[[#This Row],[Type]]</f>
        <v>IntKey</v>
      </c>
      <c r="C47" t="s">
        <v>236</v>
      </c>
      <c r="D47" t="s">
        <v>239</v>
      </c>
      <c r="E47" t="s">
        <v>124</v>
      </c>
      <c r="F47" t="s">
        <v>42</v>
      </c>
      <c r="G47" t="s">
        <v>151</v>
      </c>
      <c r="I47" s="5" t="str" cm="1">
        <f t="array" ref="I47" xml:space="preserve"> IF( OR(RIGHT(KeyTable[[#This Row],[StyleName]], 4) = "Date", RIGHT(KeyTable[[#This Row],[StyleName]], 3) = "Val"), FontTable[Mono], FontTable[Body])</f>
        <v>Bahnschrift</v>
      </c>
      <c r="J47" s="151" t="s">
        <v>50</v>
      </c>
      <c r="K47" s="138" t="s">
        <v>152</v>
      </c>
      <c r="L47" s="138"/>
      <c r="M47" s="137"/>
      <c r="N47" s="139"/>
      <c r="O47" s="140"/>
      <c r="P47" s="6" t="str" cm="1">
        <f t="array" ref="P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Q47" s="7" t="str" cm="1">
        <f t="array" ref="Q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7" s="10" t="str" cm="1">
        <f t="array" ref="R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8" x14ac:dyDescent="0.25">
      <c r="A48" s="79" t="s">
        <v>156</v>
      </c>
      <c r="B48" s="128" t="str">
        <f>KeyTable[[#This Row],[Class]]&amp;KeyTable[[#This Row],[Type]]</f>
        <v>IntVal</v>
      </c>
      <c r="C48" t="s">
        <v>236</v>
      </c>
      <c r="D48" t="s">
        <v>240</v>
      </c>
      <c r="E48" t="s">
        <v>124</v>
      </c>
      <c r="F48" t="s">
        <v>42</v>
      </c>
      <c r="G48" t="s">
        <v>151</v>
      </c>
      <c r="I48" s="5" t="str" cm="1">
        <f t="array" ref="I48" xml:space="preserve"> IF( OR(RIGHT(KeyTable[[#This Row],[StyleName]], 4) = "Date", RIGHT(KeyTable[[#This Row],[StyleName]], 3) = "Val"), FontTable[Mono], FontTable[Body])</f>
        <v>OCR A Extended</v>
      </c>
      <c r="J48" s="151" t="s">
        <v>50</v>
      </c>
      <c r="K48" s="138" t="s">
        <v>152</v>
      </c>
      <c r="L48" s="138"/>
      <c r="M48" s="137" t="s">
        <v>90</v>
      </c>
      <c r="N48" s="139"/>
      <c r="O48" s="140"/>
      <c r="P48" s="6" t="str" cm="1">
        <f t="array" ref="P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48" s="7" t="str" cm="1">
        <f t="array" ref="Q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8" s="10" t="str" cm="1">
        <f t="array" ref="R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8" x14ac:dyDescent="0.25">
      <c r="A49" s="66" t="s">
        <v>157</v>
      </c>
      <c r="B49" s="129" t="str">
        <f>KeyTable[[#This Row],[Class]]&amp;KeyTable[[#This Row],[Type]]</f>
        <v>IntCell</v>
      </c>
      <c r="C49" t="s">
        <v>236</v>
      </c>
      <c r="D49" t="s">
        <v>241</v>
      </c>
      <c r="E49" t="s">
        <v>124</v>
      </c>
      <c r="F49" t="s">
        <v>42</v>
      </c>
      <c r="G49" t="s">
        <v>151</v>
      </c>
      <c r="I49" s="5" t="str" cm="1">
        <f t="array" ref="I49" xml:space="preserve"> IF( OR(RIGHT(KeyTable[[#This Row],[StyleName]], 4) = "Date", RIGHT(KeyTable[[#This Row],[StyleName]], 3) = "Val"), FontTable[Mono], FontTable[Body])</f>
        <v>Bahnschrift</v>
      </c>
      <c r="J49" s="151" t="s">
        <v>50</v>
      </c>
      <c r="K49" s="138" t="s">
        <v>152</v>
      </c>
      <c r="L49" s="138"/>
      <c r="M49" s="137" t="s">
        <v>93</v>
      </c>
      <c r="N49" s="139"/>
      <c r="O49" s="140"/>
      <c r="P49" s="6" t="str" cm="1">
        <f t="array" ref="P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Q49" s="7" t="str" cm="1">
        <f t="array" ref="Q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9" s="10" t="str" cm="1">
        <f t="array" ref="R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8" x14ac:dyDescent="0.25">
      <c r="A50" s="67" t="s">
        <v>159</v>
      </c>
      <c r="B50" s="130" t="str">
        <f>KeyTable[[#This Row],[Class]]&amp;KeyTable[[#This Row],[Type]]</f>
        <v>ActNote</v>
      </c>
      <c r="C50" t="s">
        <v>232</v>
      </c>
      <c r="D50" t="s">
        <v>245</v>
      </c>
      <c r="E50" t="s">
        <v>160</v>
      </c>
      <c r="F50" t="s">
        <v>42</v>
      </c>
      <c r="G50" t="s">
        <v>151</v>
      </c>
      <c r="H50" t="s">
        <v>161</v>
      </c>
      <c r="I50" s="5" t="str" cm="1">
        <f t="array" ref="I50" xml:space="preserve"> IF( OR(RIGHT(KeyTable[[#This Row],[StyleName]], 4) = "Date", RIGHT(KeyTable[[#This Row],[StyleName]], 3) = "Val"), FontTable[Mono], FontTable[Body])</f>
        <v>Bahnschrift</v>
      </c>
      <c r="J50" s="137" t="s">
        <v>152</v>
      </c>
      <c r="K50" s="138" t="s">
        <v>152</v>
      </c>
      <c r="L50" s="138" t="s">
        <v>152</v>
      </c>
      <c r="M50" s="147" t="s">
        <v>90</v>
      </c>
      <c r="N50" s="148"/>
      <c r="O50" s="152"/>
      <c r="P50" s="6" t="str" cm="1">
        <f t="array" ref="P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50" s="7" t="str" cm="1">
        <f t="array" ref="Q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R50" s="10" t="str" cm="1">
        <f t="array" ref="R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8" x14ac:dyDescent="0.25">
      <c r="I51" s="1"/>
      <c r="J51" s="1"/>
      <c r="K51" s="1"/>
      <c r="L51" s="1"/>
      <c r="M51" s="1"/>
    </row>
    <row r="52" spans="1:18" ht="20.399999999999999" x14ac:dyDescent="0.25">
      <c r="E52" s="159" t="s">
        <v>162</v>
      </c>
      <c r="F52" s="159"/>
      <c r="G52" s="159"/>
      <c r="H52" s="159"/>
      <c r="L52" s="1"/>
      <c r="M52" s="1"/>
      <c r="N52" s="1"/>
      <c r="O52" s="1"/>
      <c r="P52" s="1"/>
    </row>
    <row r="53" spans="1:18" x14ac:dyDescent="0.25">
      <c r="E53" s="68" t="s">
        <v>163</v>
      </c>
      <c r="F53" s="69" t="s">
        <v>164</v>
      </c>
      <c r="G53" s="70" t="s">
        <v>165</v>
      </c>
      <c r="H53" s="71" t="s">
        <v>166</v>
      </c>
      <c r="L53" s="1"/>
      <c r="M53" s="1"/>
      <c r="N53" s="1"/>
      <c r="O53" s="1"/>
      <c r="P53" s="1"/>
    </row>
    <row r="54" spans="1:18" x14ac:dyDescent="0.25">
      <c r="E54" s="72" t="s">
        <v>167</v>
      </c>
      <c r="F54" s="83" t="s">
        <v>168</v>
      </c>
      <c r="G54" s="80" t="s">
        <v>169</v>
      </c>
      <c r="H54" s="73" t="s">
        <v>170</v>
      </c>
      <c r="L54" s="1"/>
      <c r="M54" s="1"/>
      <c r="N54" s="1"/>
      <c r="O54" s="1"/>
      <c r="P54" s="1"/>
    </row>
    <row r="55" spans="1:18" x14ac:dyDescent="0.25">
      <c r="E55" s="72" t="s">
        <v>171</v>
      </c>
      <c r="F55" s="84" t="s">
        <v>172</v>
      </c>
      <c r="G55" s="81" t="s">
        <v>208</v>
      </c>
      <c r="H55" s="74" t="s">
        <v>173</v>
      </c>
      <c r="L55" s="1"/>
      <c r="M55" s="1"/>
      <c r="N55" s="1"/>
      <c r="O55" s="1"/>
      <c r="P55" s="1"/>
    </row>
    <row r="56" spans="1:18" x14ac:dyDescent="0.25">
      <c r="E56" s="75" t="s">
        <v>174</v>
      </c>
      <c r="F56" s="85" t="s">
        <v>174</v>
      </c>
      <c r="G56" s="82" t="s">
        <v>174</v>
      </c>
      <c r="H56" s="76" t="s">
        <v>175</v>
      </c>
      <c r="L56" s="1"/>
      <c r="M56" s="1"/>
      <c r="N56" s="1"/>
      <c r="O56" s="1"/>
      <c r="P56" s="1"/>
    </row>
    <row r="57" spans="1:18" x14ac:dyDescent="0.25">
      <c r="L57" s="1"/>
      <c r="M57" s="1"/>
      <c r="N57" s="1"/>
      <c r="O57" s="1"/>
      <c r="P57" s="1"/>
    </row>
    <row r="58" spans="1:18" ht="20.399999999999999" x14ac:dyDescent="0.25">
      <c r="E58" s="156" t="s">
        <v>176</v>
      </c>
      <c r="F58" s="157"/>
      <c r="G58" s="158"/>
      <c r="L58" s="1"/>
      <c r="M58" s="1"/>
      <c r="N58" s="1"/>
      <c r="O58" s="1"/>
      <c r="P58" s="1"/>
    </row>
    <row r="59" spans="1:18" x14ac:dyDescent="0.25">
      <c r="E59" t="s">
        <v>177</v>
      </c>
      <c r="F59" t="s">
        <v>178</v>
      </c>
      <c r="G59" s="9" t="s">
        <v>179</v>
      </c>
      <c r="L59" s="1"/>
      <c r="M59" s="1"/>
      <c r="N59" s="1"/>
      <c r="O59" s="1"/>
      <c r="P59" s="1"/>
    </row>
    <row r="60" spans="1:18" x14ac:dyDescent="0.25">
      <c r="E60" t="s">
        <v>180</v>
      </c>
      <c r="F60" t="s">
        <v>181</v>
      </c>
      <c r="G60" s="5" t="str">
        <f>RIGHT(LookupSampleTable[[#This Row],[LookupColumn2]],5)</f>
        <v>Value</v>
      </c>
      <c r="L60" s="1"/>
      <c r="M60" s="1"/>
      <c r="N60" s="1"/>
      <c r="O60" s="1"/>
      <c r="P60" s="1"/>
    </row>
    <row r="61" spans="1:18" x14ac:dyDescent="0.25">
      <c r="E61" t="s">
        <v>182</v>
      </c>
      <c r="G61" s="5" t="str">
        <f>RIGHT(LookupSampleTable[[#This Row],[LookupColumn2]],5)</f>
        <v/>
      </c>
      <c r="L61" s="1"/>
      <c r="M61" s="1"/>
      <c r="N61" s="1"/>
      <c r="O61" s="1"/>
      <c r="P61" s="1"/>
    </row>
    <row r="62" spans="1:18" x14ac:dyDescent="0.25">
      <c r="E62" t="s">
        <v>183</v>
      </c>
      <c r="G62" s="77" t="str">
        <f>COUNTIF(LookupSampleTable[CalcColumn],"Value") &amp; " Value"</f>
        <v>1 Value</v>
      </c>
      <c r="L62" s="1"/>
      <c r="M62" s="1"/>
      <c r="N62" s="1"/>
      <c r="O62" s="1"/>
      <c r="P62" s="1"/>
    </row>
    <row r="63" spans="1:18" x14ac:dyDescent="0.25">
      <c r="L63" s="1"/>
      <c r="M63" s="1"/>
      <c r="N63" s="1"/>
      <c r="O63" s="1"/>
      <c r="P63" s="1"/>
    </row>
    <row r="64" spans="1:18" ht="20.399999999999999" x14ac:dyDescent="0.25">
      <c r="E64" s="156" t="s">
        <v>184</v>
      </c>
      <c r="F64" s="157"/>
      <c r="G64" s="158"/>
      <c r="L64" s="1"/>
      <c r="M64" s="1"/>
      <c r="N64" s="1"/>
      <c r="O64" s="1"/>
      <c r="P64" s="1"/>
    </row>
    <row r="65" spans="5:16" x14ac:dyDescent="0.25">
      <c r="E65" t="s">
        <v>185</v>
      </c>
      <c r="F65" t="s">
        <v>186</v>
      </c>
      <c r="G65" s="9" t="s">
        <v>187</v>
      </c>
      <c r="L65" s="1"/>
      <c r="M65" s="1"/>
      <c r="N65" s="1"/>
      <c r="O65" s="1"/>
      <c r="P65" s="1"/>
    </row>
    <row r="66" spans="5:16" x14ac:dyDescent="0.25">
      <c r="E66" t="s">
        <v>188</v>
      </c>
      <c r="G66" s="78">
        <f>1 /  VALUE(LEFT($F$68,1))</f>
        <v>0.5</v>
      </c>
      <c r="L66" s="1"/>
      <c r="M66" s="1"/>
      <c r="N66" s="1"/>
      <c r="O66" s="1"/>
      <c r="P66" s="1"/>
    </row>
    <row r="67" spans="5:16" x14ac:dyDescent="0.25">
      <c r="E67" t="s">
        <v>189</v>
      </c>
      <c r="G67" s="78">
        <f>1 /  VALUE(LEFT($F$68,1))</f>
        <v>0.5</v>
      </c>
      <c r="L67" s="1"/>
      <c r="M67" s="1"/>
      <c r="N67" s="1"/>
      <c r="O67" s="1"/>
      <c r="P67" s="1"/>
    </row>
    <row r="68" spans="5:16" x14ac:dyDescent="0.25">
      <c r="E68" t="s">
        <v>183</v>
      </c>
      <c r="F68" t="str">
        <f>COUNTIF(IntSampleTable[Internal2],"")    &amp;     " Blank Cells"</f>
        <v>2 Blank Cells</v>
      </c>
      <c r="G68" s="9" t="str">
        <f>"Total: "&amp; SUBTOTAL(109,IntSampleTable[CalcColumn3])*100 &amp;"%"</f>
        <v>Total: 100%</v>
      </c>
    </row>
    <row r="70" spans="5:16" ht="20.399999999999999" x14ac:dyDescent="0.25">
      <c r="E70" s="156" t="s">
        <v>190</v>
      </c>
      <c r="F70" s="157"/>
      <c r="G70" s="158"/>
    </row>
    <row r="71" spans="5:16" x14ac:dyDescent="0.25">
      <c r="E71" t="s">
        <v>191</v>
      </c>
      <c r="F71" t="s">
        <v>192</v>
      </c>
      <c r="G71" s="9" t="s">
        <v>187</v>
      </c>
    </row>
    <row r="72" spans="5:16" x14ac:dyDescent="0.25">
      <c r="E72" t="s">
        <v>193</v>
      </c>
      <c r="F72" t="s">
        <v>194</v>
      </c>
      <c r="G72" s="5" t="b">
        <f>QuerySampleTable[[#This Row],[QueryColumn2]]  = "Query Value"</f>
        <v>1</v>
      </c>
    </row>
    <row r="73" spans="5:16" x14ac:dyDescent="0.25">
      <c r="E73" t="s">
        <v>195</v>
      </c>
      <c r="F73" t="s">
        <v>196</v>
      </c>
      <c r="G73" s="5" t="b">
        <f>QuerySampleTable[[#This Row],[QueryColumn2]]  = "Query Value"</f>
        <v>0</v>
      </c>
    </row>
    <row r="74" spans="5:16" x14ac:dyDescent="0.25">
      <c r="E74" t="s">
        <v>183</v>
      </c>
      <c r="F74" t="str">
        <f>COUNTIF(QuerySampleTable[QueryColumn2],"* Error")&amp;" Error in Col"</f>
        <v>1 Error in Col</v>
      </c>
      <c r="G74" s="9" t="str">
        <f>IF(_xlfn.XMATCH(FALSE, QuerySampleTable[CalcColumn3],0,1) &gt; 0,  "&gt;0  Falses in Column", "Column Good")</f>
        <v>&gt;0  Falses in Column</v>
      </c>
    </row>
    <row r="76" spans="5:16" ht="20.399999999999999" x14ac:dyDescent="0.25">
      <c r="E76" s="156" t="s">
        <v>197</v>
      </c>
      <c r="F76" s="157"/>
      <c r="G76" s="158"/>
    </row>
    <row r="77" spans="5:16" x14ac:dyDescent="0.25">
      <c r="E77" t="s">
        <v>35</v>
      </c>
      <c r="F77" t="s">
        <v>36</v>
      </c>
      <c r="G77" t="s">
        <v>37</v>
      </c>
    </row>
    <row r="78" spans="5:16" x14ac:dyDescent="0.25">
      <c r="E78">
        <v>2</v>
      </c>
      <c r="F78">
        <f>4/NewTable[[#This Row],[Column1]]</f>
        <v>2</v>
      </c>
    </row>
    <row r="79" spans="5:16" x14ac:dyDescent="0.25">
      <c r="E79">
        <v>3</v>
      </c>
      <c r="F79">
        <f>4/NewTable[[#This Row],[Column1]]</f>
        <v>1.3333333333333333</v>
      </c>
    </row>
    <row r="80" spans="5:16" x14ac:dyDescent="0.25">
      <c r="E80">
        <v>0</v>
      </c>
      <c r="F80" t="e">
        <f>4/NewTable[[#This Row],[Column1]]</f>
        <v>#DIV/0!</v>
      </c>
    </row>
  </sheetData>
  <mergeCells count="7">
    <mergeCell ref="E76:G76"/>
    <mergeCell ref="T1:W1"/>
    <mergeCell ref="E52:H52"/>
    <mergeCell ref="E58:G58"/>
    <mergeCell ref="E64:G64"/>
    <mergeCell ref="E70:G70"/>
    <mergeCell ref="A1:R1"/>
  </mergeCells>
  <conditionalFormatting sqref="U3:U9 U11:U21">
    <cfRule type="expression" dxfId="72" priority="5">
      <formula>U3="BadValue"</formula>
    </cfRule>
  </conditionalFormatting>
  <conditionalFormatting sqref="V3:V21">
    <cfRule type="expression" dxfId="71" priority="6">
      <formula>NOT($Y$3)</formula>
    </cfRule>
  </conditionalFormatting>
  <conditionalFormatting sqref="V2">
    <cfRule type="expression" dxfId="70" priority="7">
      <formula>NOT($Y$3)</formula>
    </cfRule>
  </conditionalFormatting>
  <conditionalFormatting sqref="F72:F73">
    <cfRule type="expression" dxfId="69" priority="2">
      <formula>F72="Query Error"</formula>
    </cfRule>
  </conditionalFormatting>
  <conditionalFormatting sqref="A1:XFD1048576">
    <cfRule type="expression" dxfId="68" priority="1">
      <formula>ISERROR(A1)</formula>
    </cfRule>
  </conditionalFormatting>
  <dataValidations count="1">
    <dataValidation type="list" allowBlank="1" showInputMessage="1" showErrorMessage="1" sqref="T3:T21 Y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Y3" r:id="rId5">
            <anchor moveWithCells="1" sizeWithCells="1">
              <from>
                <xdr:col>24</xdr:col>
                <xdr:colOff>0</xdr:colOff>
                <xdr:row>4</xdr:row>
                <xdr:rowOff>0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U15"/>
  <sheetViews>
    <sheetView tabSelected="1" workbookViewId="0">
      <selection activeCell="I14" sqref="I14"/>
    </sheetView>
  </sheetViews>
  <sheetFormatPr defaultRowHeight="13.8" x14ac:dyDescent="0.25"/>
  <cols>
    <col min="1" max="1" width="6.296875" bestFit="1" customWidth="1"/>
    <col min="2" max="2" width="8.09765625" bestFit="1" customWidth="1"/>
    <col min="3" max="3" width="9" bestFit="1" customWidth="1"/>
    <col min="4" max="4" width="8.796875" customWidth="1"/>
    <col min="5" max="5" width="9.5" bestFit="1" customWidth="1"/>
    <col min="6" max="6" width="14" bestFit="1" customWidth="1"/>
    <col min="7" max="7" width="9.19921875" bestFit="1" customWidth="1"/>
    <col min="8" max="8" width="8.09765625" bestFit="1" customWidth="1"/>
    <col min="9" max="9" width="8.796875" customWidth="1"/>
    <col min="10" max="10" width="8" bestFit="1" customWidth="1"/>
    <col min="11" max="11" width="7.796875" bestFit="1" customWidth="1"/>
    <col min="12" max="12" width="4.8984375" bestFit="1" customWidth="1"/>
    <col min="13" max="13" width="8.59765625" bestFit="1" customWidth="1"/>
    <col min="14" max="14" width="8.09765625" bestFit="1" customWidth="1"/>
    <col min="15" max="15" width="8.59765625" bestFit="1" customWidth="1"/>
    <col min="16" max="17" width="8.796875" customWidth="1"/>
    <col min="18" max="19" width="10.3984375" bestFit="1" customWidth="1"/>
    <col min="20" max="20" width="16.3984375" bestFit="1" customWidth="1"/>
    <col min="21" max="21" width="14.8984375" bestFit="1" customWidth="1"/>
  </cols>
  <sheetData>
    <row r="1" spans="1:21" ht="20.399999999999999" x14ac:dyDescent="0.25">
      <c r="A1" s="156" t="s">
        <v>0</v>
      </c>
      <c r="B1" s="157"/>
      <c r="C1" s="157"/>
      <c r="D1" s="157"/>
      <c r="E1" s="157"/>
      <c r="F1" s="157"/>
      <c r="G1" s="157"/>
      <c r="H1" s="158"/>
      <c r="J1" s="163" t="s">
        <v>260</v>
      </c>
      <c r="K1" s="164"/>
      <c r="L1" s="164"/>
      <c r="M1" s="164"/>
      <c r="N1" s="164"/>
      <c r="O1" s="165"/>
      <c r="P1" s="166"/>
      <c r="Q1" s="166"/>
      <c r="R1" s="160" t="s">
        <v>205</v>
      </c>
      <c r="S1" s="161"/>
      <c r="T1" s="161"/>
      <c r="U1" s="162"/>
    </row>
    <row r="2" spans="1:21" x14ac:dyDescent="0.25">
      <c r="A2" s="1" t="s">
        <v>1</v>
      </c>
      <c r="B2" s="1" t="s">
        <v>2</v>
      </c>
      <c r="C2" s="1"/>
      <c r="E2" s="168" t="s">
        <v>3</v>
      </c>
      <c r="F2" s="169"/>
      <c r="G2" s="170" t="s">
        <v>4</v>
      </c>
      <c r="H2" s="171"/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s="166"/>
      <c r="Q2" s="167"/>
      <c r="R2" t="s">
        <v>199</v>
      </c>
      <c r="S2" t="s">
        <v>200</v>
      </c>
      <c r="T2" t="s">
        <v>201</v>
      </c>
      <c r="U2" t="s">
        <v>202</v>
      </c>
    </row>
    <row r="3" spans="1:21" x14ac:dyDescent="0.25">
      <c r="A3" s="1" t="b">
        <v>1</v>
      </c>
      <c r="B3" s="1" t="s">
        <v>11</v>
      </c>
      <c r="C3" s="1"/>
      <c r="E3" s="2" t="s">
        <v>12</v>
      </c>
      <c r="F3" s="2" t="s">
        <v>13</v>
      </c>
      <c r="G3" s="2" t="s">
        <v>12</v>
      </c>
      <c r="H3" s="2" t="s">
        <v>13</v>
      </c>
      <c r="J3" s="1">
        <v>16</v>
      </c>
      <c r="K3" s="1">
        <v>11</v>
      </c>
      <c r="L3" s="1">
        <v>11</v>
      </c>
      <c r="M3" s="1" t="b">
        <v>1</v>
      </c>
      <c r="N3" s="1" t="b">
        <v>0</v>
      </c>
      <c r="O3" s="1" t="b">
        <v>1</v>
      </c>
      <c r="P3" s="166"/>
      <c r="Q3" s="167"/>
      <c r="R3" t="s">
        <v>203</v>
      </c>
      <c r="S3" s="92" t="s">
        <v>203</v>
      </c>
      <c r="T3" s="91" t="s">
        <v>198</v>
      </c>
      <c r="U3" s="90" t="s">
        <v>204</v>
      </c>
    </row>
    <row r="4" spans="1:21" s="87" customFormat="1" x14ac:dyDescent="0.25">
      <c r="A4" s="86" t="b">
        <v>0</v>
      </c>
      <c r="B4" s="86" t="s">
        <v>14</v>
      </c>
      <c r="C4" s="86"/>
      <c r="E4" s="88" t="b" cm="1">
        <f t="array" aca="1" ref="E4" ca="1">OFFSET( BoolName, 0, 0, 1, 1)</f>
        <v>1</v>
      </c>
      <c r="F4" s="88" t="b" cm="1">
        <f t="array" aca="1" ref="F4" ca="1">OFFSET( BoolName, 1, 0, 1, 1)</f>
        <v>0</v>
      </c>
      <c r="G4" s="88" t="str">
        <f ca="1">OFFSET( YNTable[], 0, 0, 1, 1)</f>
        <v>Yes</v>
      </c>
      <c r="H4" s="88" t="str">
        <f ca="1">OFFSET( YNTable[], 1, 0, 1, 1)</f>
        <v>No</v>
      </c>
      <c r="N4" s="89"/>
    </row>
    <row r="6" spans="1:21" x14ac:dyDescent="0.25">
      <c r="A6" s="1"/>
    </row>
    <row r="7" spans="1:21" ht="20.399999999999999" x14ac:dyDescent="0.25">
      <c r="A7" s="172" t="s">
        <v>225</v>
      </c>
      <c r="B7" s="172"/>
      <c r="C7" s="172"/>
      <c r="E7" s="176" t="s">
        <v>259</v>
      </c>
      <c r="F7" s="176"/>
      <c r="G7" s="176"/>
      <c r="H7" s="176"/>
    </row>
    <row r="8" spans="1:21" x14ac:dyDescent="0.25">
      <c r="A8" t="s">
        <v>206</v>
      </c>
      <c r="B8" t="s">
        <v>47</v>
      </c>
      <c r="C8" t="s">
        <v>209</v>
      </c>
      <c r="E8" t="s">
        <v>212</v>
      </c>
      <c r="F8" t="s">
        <v>20</v>
      </c>
      <c r="G8" t="s">
        <v>214</v>
      </c>
      <c r="H8" t="s">
        <v>213</v>
      </c>
    </row>
    <row r="9" spans="1:21" x14ac:dyDescent="0.25">
      <c r="A9" t="s">
        <v>47</v>
      </c>
      <c r="B9" t="e">
        <f>VALUE("a")</f>
        <v>#VALUE!</v>
      </c>
      <c r="C9" t="s">
        <v>257</v>
      </c>
      <c r="E9" t="s">
        <v>215</v>
      </c>
      <c r="F9" t="s">
        <v>216</v>
      </c>
      <c r="G9" t="s">
        <v>154</v>
      </c>
      <c r="H9" t="s">
        <v>158</v>
      </c>
    </row>
    <row r="10" spans="1:21" x14ac:dyDescent="0.25">
      <c r="A10" t="s">
        <v>15</v>
      </c>
      <c r="B10" t="e" cm="1">
        <f t="array" ref="B10">ErrNA</f>
        <v>#N/A</v>
      </c>
      <c r="C10" t="s">
        <v>258</v>
      </c>
      <c r="E10" t="s">
        <v>217</v>
      </c>
      <c r="F10" t="s">
        <v>222</v>
      </c>
      <c r="G10" t="s">
        <v>142</v>
      </c>
      <c r="H10" t="s">
        <v>147</v>
      </c>
    </row>
    <row r="11" spans="1:21" x14ac:dyDescent="0.25">
      <c r="A11" t="s">
        <v>207</v>
      </c>
      <c r="B11" t="e">
        <f>SQRT(-1)</f>
        <v>#NUM!</v>
      </c>
      <c r="C11" t="s">
        <v>256</v>
      </c>
      <c r="E11" t="s">
        <v>218</v>
      </c>
      <c r="F11" t="s">
        <v>226</v>
      </c>
      <c r="G11" t="s">
        <v>101</v>
      </c>
      <c r="H11" t="s">
        <v>108</v>
      </c>
    </row>
    <row r="12" spans="1:21" x14ac:dyDescent="0.25">
      <c r="A12" t="s">
        <v>209</v>
      </c>
      <c r="B12" t="e" cm="1">
        <f t="array" ref="B12">noname</f>
        <v>#NAME?</v>
      </c>
      <c r="C12" t="s">
        <v>255</v>
      </c>
      <c r="E12" t="s">
        <v>219</v>
      </c>
      <c r="F12" t="s">
        <v>223</v>
      </c>
      <c r="G12" t="s">
        <v>129</v>
      </c>
      <c r="H12" t="s">
        <v>137</v>
      </c>
    </row>
    <row r="13" spans="1:21" x14ac:dyDescent="0.25">
      <c r="A13" t="s">
        <v>210</v>
      </c>
      <c r="B13" t="e" cm="1" vm="1">
        <f t="array" aca="1" ref="B13" ca="1">J8:M11</f>
        <v>#VALUE!</v>
      </c>
      <c r="C13" t="s">
        <v>254</v>
      </c>
      <c r="E13" t="s">
        <v>220</v>
      </c>
      <c r="F13" t="s">
        <v>227</v>
      </c>
      <c r="G13" t="s">
        <v>49</v>
      </c>
      <c r="H13" t="s">
        <v>62</v>
      </c>
    </row>
    <row r="14" spans="1:21" x14ac:dyDescent="0.25">
      <c r="A14" t="s">
        <v>211</v>
      </c>
      <c r="B14" t="e">
        <f>4/0</f>
        <v>#DIV/0!</v>
      </c>
      <c r="C14" t="s">
        <v>253</v>
      </c>
      <c r="E14" t="s">
        <v>221</v>
      </c>
      <c r="F14" t="s">
        <v>224</v>
      </c>
      <c r="G14" t="s">
        <v>83</v>
      </c>
      <c r="H14" t="s">
        <v>92</v>
      </c>
    </row>
    <row r="15" spans="1:21" x14ac:dyDescent="0.25">
      <c r="A15" s="1" t="s">
        <v>251</v>
      </c>
      <c r="B15" s="1" t="s">
        <v>250</v>
      </c>
      <c r="C15" s="155" t="s">
        <v>252</v>
      </c>
      <c r="E15" t="s">
        <v>206</v>
      </c>
      <c r="F15" t="s">
        <v>225</v>
      </c>
      <c r="G15" t="s">
        <v>114</v>
      </c>
      <c r="H15" t="s">
        <v>122</v>
      </c>
    </row>
  </sheetData>
  <mergeCells count="8">
    <mergeCell ref="E7:H7"/>
    <mergeCell ref="A7:C7"/>
    <mergeCell ref="R1:U1"/>
    <mergeCell ref="A1:H1"/>
    <mergeCell ref="J1:O1"/>
    <mergeCell ref="P1:Q3"/>
    <mergeCell ref="E2:F2"/>
    <mergeCell ref="G2:H2"/>
  </mergeCells>
  <dataValidations count="2">
    <dataValidation type="list" allowBlank="1" sqref="M3:O3" xr:uid="{3C74D6F8-4506-4B57-82EE-FFA1EEBFA496}">
      <formula1>BoolName</formula1>
    </dataValidation>
    <dataValidation type="list" allowBlank="1" sqref="G9:H15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15</xdr:col>
                    <xdr:colOff>228600</xdr:colOff>
                    <xdr:row>0</xdr:row>
                    <xdr:rowOff>106680</xdr:rowOff>
                  </from>
                  <to>
                    <xdr:col>16</xdr:col>
                    <xdr:colOff>571500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D1:Q12"/>
  <sheetViews>
    <sheetView workbookViewId="0">
      <selection activeCell="E12" sqref="E12"/>
    </sheetView>
  </sheetViews>
  <sheetFormatPr defaultRowHeight="13.8" x14ac:dyDescent="0.25"/>
  <cols>
    <col min="4" max="4" width="9.296875" customWidth="1"/>
    <col min="5" max="5" width="9.59765625" customWidth="1"/>
    <col min="6" max="8" width="9.69921875" customWidth="1"/>
  </cols>
  <sheetData>
    <row r="1" spans="4:17" x14ac:dyDescent="0.25">
      <c r="D1" s="173"/>
      <c r="E1" s="174"/>
      <c r="F1" s="174"/>
      <c r="G1" s="174"/>
      <c r="H1" s="174"/>
      <c r="I1" s="174"/>
      <c r="J1" s="175"/>
    </row>
    <row r="2" spans="4:17" x14ac:dyDescent="0.25">
      <c r="D2" t="s">
        <v>35</v>
      </c>
      <c r="E2" s="107" t="s">
        <v>36</v>
      </c>
      <c r="F2" s="115" t="s">
        <v>37</v>
      </c>
      <c r="G2" s="120" t="s">
        <v>248</v>
      </c>
      <c r="H2" s="107" t="s">
        <v>249</v>
      </c>
    </row>
    <row r="3" spans="4:17" x14ac:dyDescent="0.25">
      <c r="E3" s="153"/>
      <c r="F3" s="154"/>
      <c r="G3" s="61"/>
      <c r="H3" s="153"/>
    </row>
    <row r="4" spans="4:17" x14ac:dyDescent="0.25">
      <c r="E4" s="153"/>
      <c r="F4" s="154"/>
      <c r="G4" s="61"/>
      <c r="H4" s="153"/>
    </row>
    <row r="5" spans="4:17" x14ac:dyDescent="0.25">
      <c r="E5" s="153"/>
      <c r="F5" s="154"/>
      <c r="G5" s="61"/>
      <c r="H5" s="153"/>
    </row>
    <row r="6" spans="4:17" x14ac:dyDescent="0.25">
      <c r="E6" s="153"/>
      <c r="F6" s="154"/>
      <c r="G6" s="61"/>
      <c r="H6" s="153"/>
    </row>
    <row r="7" spans="4:17" x14ac:dyDescent="0.25">
      <c r="E7" s="153"/>
      <c r="F7" s="154"/>
      <c r="G7" s="61"/>
      <c r="H7" s="153"/>
    </row>
    <row r="8" spans="4:17" x14ac:dyDescent="0.25">
      <c r="E8" s="153"/>
      <c r="F8" s="154"/>
      <c r="G8" s="61"/>
      <c r="H8" s="153"/>
    </row>
    <row r="9" spans="4:17" x14ac:dyDescent="0.25">
      <c r="E9" s="153"/>
      <c r="F9" s="154"/>
      <c r="G9" s="61"/>
      <c r="H9" s="153"/>
    </row>
    <row r="10" spans="4:17" x14ac:dyDescent="0.25">
      <c r="E10" s="153"/>
      <c r="F10" s="154"/>
      <c r="G10" s="61"/>
      <c r="H10" s="153"/>
    </row>
    <row r="12" spans="4:17" x14ac:dyDescent="0.25">
      <c r="Q12" s="87"/>
    </row>
  </sheetData>
  <mergeCells count="1">
    <mergeCell ref="D1:J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ErrDiv</vt:lpstr>
      <vt:lpstr>ErrName</vt:lpstr>
      <vt:lpstr>ErrNum</vt:lpstr>
      <vt:lpstr>ErrSpill</vt:lpstr>
      <vt:lpstr>ErrStyle</vt:lpstr>
      <vt:lpstr>ErrValue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2022-04-20T05:08:25Z</dcterms:modified>
</cp:coreProperties>
</file>