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Styled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A0B9ACD8-D34A-448B-9309-D0AE7E1A50D8}" xr6:coauthVersionLast="47" xr6:coauthVersionMax="47" xr10:uidLastSave="{00000000-0000-0000-0000-000000000000}"/>
  <bookViews>
    <workbookView xWindow="1080" yWindow="1080" windowWidth="17280" windowHeight="9072" activeTab="1" xr2:uid="{D099C927-7E7A-4799-8725-69E24790C988}"/>
  </bookViews>
  <sheets>
    <sheet name="Key" sheetId="1" r:id="rId1"/>
    <sheet name="List" sheetId="2" r:id="rId2"/>
    <sheet name="Sheet1" sheetId="3" r:id="rId3"/>
  </sheets>
  <functionGroups builtInGroupCount="19"/>
  <definedNames>
    <definedName name="_xlpm.actbox" hidden="1" xlm="1">#NAME?</definedName>
    <definedName name="_xlpm.acterror" hidden="1" xlm="1">#NAME?</definedName>
    <definedName name="_xlpm.b" hidden="1" xlm="1">#NAME?</definedName>
    <definedName name="_xlpm.bo" hidden="1" xlm="1">#NAME?</definedName>
    <definedName name="_xlpm.box" hidden="1" xlm="1">#NAME?</definedName>
    <definedName name="_xlpm.boxc" hidden="1" xlm="1">#NAME?</definedName>
    <definedName name="_xlpm.boxce" hidden="1" xlm="1">#NAME?</definedName>
    <definedName name="_xlpm.boxcel" hidden="1" xlm="1">#NAME?</definedName>
    <definedName name="_xlpm.boxcell" hidden="1" xlm="1">#NAME?</definedName>
    <definedName name="_xlpm.boxh" hidden="1" xlm="1">#NAME?</definedName>
    <definedName name="_xlpm.boxhd" hidden="1" xlm="1">#NAME?</definedName>
    <definedName name="_xlpm.boxtitle" hidden="1" xlm="1">#NAME?</definedName>
    <definedName name="_xlpm.boxv" hidden="1" xlm="1">#NAME?</definedName>
    <definedName name="_xlpm.boxva" hidden="1" xlm="1">#NAME?</definedName>
    <definedName name="_xlpm.boxval" hidden="1" xlm="1">#NAME?</definedName>
    <definedName name="_xlpm.cact" hidden="1" xlm="1">#NAME?</definedName>
    <definedName name="_xlpm.calccell" hidden="1" xlm="1">#NAME?</definedName>
    <definedName name="_xlpm.calckey" hidden="1" xlm="1">#NAME?</definedName>
    <definedName name="_xlpm.calcval" hidden="1" xlm="1">#NAME?</definedName>
    <definedName name="_xlpm.cbox" hidden="1" xlm="1">#NAME?</definedName>
    <definedName name="_xlpm.cchd" hidden="1" xlm="1">#NAME?</definedName>
    <definedName name="_xlpm.cdat" hidden="1" xlm="1">#NAME?</definedName>
    <definedName name="_xlpm.cdhk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tit" hidden="1" xlm="1">#NAME?</definedName>
    <definedName name="_xlpm.cval" hidden="1" xlm="1">#NAME?</definedName>
    <definedName name="_xlpm.deaccell" hidden="1" xlm="1">#NAME?</definedName>
    <definedName name="_xlpm.deachd" hidden="1" xlm="1">#NAME?</definedName>
    <definedName name="_xlpm.deachdkey" hidden="1" xlm="1">#NAME?</definedName>
    <definedName name="_xlpm.f" hidden="1" xlm="1">#NAME?</definedName>
    <definedName name="_xlpm.l" hidden="1" xlm="1">#NAME?</definedName>
    <definedName name="_xlpm.l_" hidden="1" xlm="1">#NAME?</definedName>
    <definedName name="_xlpm.l_t" hidden="1" xlm="1">#NAME?</definedName>
    <definedName name="_xlpm.l_th" hidden="1" xlm="1">#NAME?</definedName>
    <definedName name="_xlpm.l_thr" hidden="1" xlm="1">#NAME?</definedName>
    <definedName name="_xlpm.l_thre" hidden="1" xlm="1">#NAME?</definedName>
    <definedName name="_xlpm.l_three" hidden="1" xlm="1">#NAME?</definedName>
    <definedName name="_xlpm.o" hidden="1" xlm="1">#NAME?</definedName>
    <definedName name="_xlpm.ov" hidden="1" xlm="1">#NAME?</definedName>
    <definedName name="_xlpm.ovb" hidden="1" xlm="1">#NAME?</definedName>
    <definedName name="_xlpm.ovn" hidden="1" xlm="1">#NAME?</definedName>
    <definedName name="_xlpm.p" hidden="1" xlm="1">#NAME?</definedName>
    <definedName name="_xlpm.r" hidden="1" xlm="1">#NAME?</definedName>
    <definedName name="_xlpm.r_" hidden="1" xlm="1">#NAME?</definedName>
    <definedName name="_xlpm.r_f" hidden="1" xlm="1">#NAME?</definedName>
    <definedName name="_xlpm.r_fi" hidden="1" xlm="1">#NAME?</definedName>
    <definedName name="_xlpm.r_fiv" hidden="1" xlm="1">#NAME?</definedName>
    <definedName name="_xlpm.r_five" hidden="1" xlm="1">#NAME?</definedName>
    <definedName name="_xlpm.r_fo" hidden="1" xlm="1">#NAME?</definedName>
    <definedName name="_xlpm.r_fou" hidden="1" xlm="1">#NAME?</definedName>
    <definedName name="_xlpm.r_four" hidden="1" xlm="1">#NAME?</definedName>
    <definedName name="_xlpm.r_six" hidden="1" xlm="1">#NAME?</definedName>
    <definedName name="_xlpm.r_three" hidden="1" xlm="1">#NAME?</definedName>
    <definedName name="_xlpm.r_tw" hidden="1" xlm="1">#NAME?</definedName>
    <definedName name="_xlpm.r_two" hidden="1" xlm="1">#NAME?</definedName>
    <definedName name="_xlpm.s" hidden="1" xlm="1">#NAME?</definedName>
    <definedName name="_xlpm.use" hidden="1" xlm="1">#NAME?</definedName>
    <definedName name="_xlpm.xx" hidden="1" xlm="1">#NAME?</definedName>
    <definedName name="BoolName">BoolTable[Bool]</definedName>
    <definedName name="BoolNo">BoolValueTable[N]</definedName>
    <definedName name="BoolYes">BoolValueTable[Y]</definedName>
    <definedName name="CellFontSize_Override">SizeOverrideTable[[#All],[Cells]]</definedName>
    <definedName name="CellTypeName">KeyTable[Cell Name]</definedName>
    <definedName name="HeaderFontSize_Override">SizeOverrideTable[Headers]</definedName>
    <definedName name="LNF" comment="Lookup Not Found">LNFTable[LNF]</definedName>
    <definedName name="SetFont_Override">SizeOverrideTable[Sets Font]+SizeOverrideTable[Sets Font]</definedName>
    <definedName name="SetsFormat_Override">SizeOverrideTable[Sets Fmt]</definedName>
    <definedName name="TitleFontSize_Override">SizeOverrideTable[Cell Title]</definedName>
    <definedName name="TypeNoteName">_xlfn.UNIQUE(KeyTable[Typing Notes])</definedName>
  </definedNames>
  <calcPr calcId="191029"/>
  <webPublishing vml="1" allowPng="1" targetScreenSize="1280x1024" codePage="1252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eyTable_819bfb76-0bdf-47c6-8fb9-3655f7c737f7" name="KeyTable" connection="Query - KeyTable"/>
          <x15:modelTable id="Colors_355ea822-8862-414c-b286-5aefc0c7b50c" name="Colors" connection="Query - Colo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1" l="1" a="1"/>
  <c r="N18" i="1" s="1"/>
  <c r="N8" i="1" a="1"/>
  <c r="N8" i="1" s="1"/>
  <c r="P15" i="1" a="1"/>
  <c r="P15" i="1" s="1"/>
  <c r="O15" i="1" a="1"/>
  <c r="O15" i="1" s="1"/>
  <c r="N15" i="1" a="1"/>
  <c r="N15" i="1" s="1"/>
  <c r="G15" i="1"/>
  <c r="P14" i="1" a="1"/>
  <c r="P14" i="1" s="1"/>
  <c r="O14" i="1" a="1"/>
  <c r="O14" i="1" s="1"/>
  <c r="N14" i="1" a="1"/>
  <c r="N14" i="1" s="1"/>
  <c r="G14" i="1"/>
  <c r="G3" i="1"/>
  <c r="G4" i="1"/>
  <c r="G6" i="1"/>
  <c r="G5" i="1"/>
  <c r="G7" i="1"/>
  <c r="G8" i="1"/>
  <c r="G9" i="1"/>
  <c r="G10" i="1"/>
  <c r="G11" i="1"/>
  <c r="G12" i="1"/>
  <c r="G13" i="1"/>
  <c r="G16" i="1"/>
  <c r="G17" i="1"/>
  <c r="G18" i="1"/>
  <c r="G19" i="1"/>
  <c r="G20" i="1"/>
  <c r="G22" i="1"/>
  <c r="G23" i="1"/>
  <c r="G21" i="1"/>
  <c r="G24" i="1"/>
  <c r="G25" i="1"/>
  <c r="G26" i="1"/>
  <c r="G27" i="1"/>
  <c r="G29" i="1"/>
  <c r="G28" i="1"/>
  <c r="G30" i="1"/>
  <c r="G31" i="1"/>
  <c r="G32" i="1"/>
  <c r="G33" i="1"/>
  <c r="G35" i="1"/>
  <c r="G36" i="1"/>
  <c r="G34" i="1"/>
  <c r="G37" i="1"/>
  <c r="G38" i="1"/>
  <c r="G39" i="1"/>
  <c r="G40" i="1"/>
  <c r="G42" i="1"/>
  <c r="G41" i="1"/>
  <c r="G43" i="1"/>
  <c r="G44" i="1"/>
  <c r="G45" i="1"/>
  <c r="G46" i="1"/>
  <c r="G48" i="1"/>
  <c r="G47" i="1"/>
  <c r="G49" i="1"/>
  <c r="G50" i="1"/>
  <c r="P3" i="1" a="1"/>
  <c r="P3" i="1" s="1"/>
  <c r="P4" i="1" a="1"/>
  <c r="P4" i="1" s="1"/>
  <c r="P6" i="1" a="1"/>
  <c r="P6" i="1" s="1"/>
  <c r="P5" i="1" a="1"/>
  <c r="P5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2" i="1" a="1"/>
  <c r="P22" i="1" s="1"/>
  <c r="P23" i="1" a="1"/>
  <c r="P23" i="1" s="1"/>
  <c r="P21" i="1" a="1"/>
  <c r="P21" i="1" s="1"/>
  <c r="P24" i="1" a="1"/>
  <c r="P24" i="1" s="1"/>
  <c r="P25" i="1" a="1"/>
  <c r="P25" i="1" s="1"/>
  <c r="P26" i="1" a="1"/>
  <c r="P26" i="1" s="1"/>
  <c r="P27" i="1" a="1"/>
  <c r="P27" i="1" s="1"/>
  <c r="P29" i="1" a="1"/>
  <c r="P29" i="1" s="1"/>
  <c r="P28" i="1" a="1"/>
  <c r="P28" i="1" s="1"/>
  <c r="P30" i="1" a="1"/>
  <c r="P30" i="1" s="1"/>
  <c r="P31" i="1" a="1"/>
  <c r="P31" i="1" s="1"/>
  <c r="P32" i="1" a="1"/>
  <c r="P32" i="1" s="1"/>
  <c r="P33" i="1" a="1"/>
  <c r="P33" i="1" s="1"/>
  <c r="P35" i="1" a="1"/>
  <c r="P35" i="1" s="1"/>
  <c r="P36" i="1" a="1"/>
  <c r="P36" i="1" s="1"/>
  <c r="P34" i="1" a="1"/>
  <c r="P34" i="1" s="1"/>
  <c r="P37" i="1" a="1"/>
  <c r="P37" i="1" s="1"/>
  <c r="P38" i="1" a="1"/>
  <c r="P38" i="1" s="1"/>
  <c r="P39" i="1" a="1"/>
  <c r="P39" i="1" s="1"/>
  <c r="P40" i="1" a="1"/>
  <c r="P40" i="1" s="1"/>
  <c r="P42" i="1" a="1"/>
  <c r="P42" i="1" s="1"/>
  <c r="P41" i="1" a="1"/>
  <c r="P41" i="1" s="1"/>
  <c r="P43" i="1" a="1"/>
  <c r="P43" i="1" s="1"/>
  <c r="P44" i="1" a="1"/>
  <c r="P44" i="1" s="1"/>
  <c r="P45" i="1" a="1"/>
  <c r="P45" i="1" s="1"/>
  <c r="P46" i="1" a="1"/>
  <c r="P46" i="1" s="1"/>
  <c r="P48" i="1" a="1"/>
  <c r="P48" i="1" s="1"/>
  <c r="P47" i="1" a="1"/>
  <c r="P47" i="1" s="1"/>
  <c r="P49" i="1" a="1"/>
  <c r="P49" i="1" s="1"/>
  <c r="P50" i="1" a="1"/>
  <c r="P50" i="1" s="1"/>
  <c r="O3" i="1" a="1"/>
  <c r="O3" i="1" s="1"/>
  <c r="O4" i="1" a="1"/>
  <c r="O4" i="1" s="1"/>
  <c r="O6" i="1" a="1"/>
  <c r="O6" i="1" s="1"/>
  <c r="O5" i="1" a="1"/>
  <c r="O5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2" i="1" a="1"/>
  <c r="O22" i="1" s="1"/>
  <c r="O23" i="1" a="1"/>
  <c r="O23" i="1" s="1"/>
  <c r="O21" i="1" a="1"/>
  <c r="O21" i="1" s="1"/>
  <c r="O24" i="1" a="1"/>
  <c r="O24" i="1" s="1"/>
  <c r="O25" i="1" a="1"/>
  <c r="O25" i="1" s="1"/>
  <c r="O26" i="1" a="1"/>
  <c r="O26" i="1" s="1"/>
  <c r="O27" i="1" a="1"/>
  <c r="O27" i="1" s="1"/>
  <c r="O29" i="1" a="1"/>
  <c r="O29" i="1" s="1"/>
  <c r="O28" i="1" a="1"/>
  <c r="O28" i="1" s="1"/>
  <c r="O30" i="1" a="1"/>
  <c r="O30" i="1" s="1"/>
  <c r="O31" i="1" a="1"/>
  <c r="O31" i="1" s="1"/>
  <c r="O32" i="1" a="1"/>
  <c r="O32" i="1" s="1"/>
  <c r="O33" i="1" a="1"/>
  <c r="O33" i="1" s="1"/>
  <c r="O35" i="1" a="1"/>
  <c r="O35" i="1" s="1"/>
  <c r="O36" i="1" a="1"/>
  <c r="O36" i="1" s="1"/>
  <c r="O34" i="1" a="1"/>
  <c r="O34" i="1" s="1"/>
  <c r="O37" i="1" a="1"/>
  <c r="O37" i="1" s="1"/>
  <c r="O38" i="1" a="1"/>
  <c r="O38" i="1" s="1"/>
  <c r="O39" i="1" a="1"/>
  <c r="O39" i="1" s="1"/>
  <c r="O40" i="1" a="1"/>
  <c r="O40" i="1" s="1"/>
  <c r="O42" i="1" a="1"/>
  <c r="O42" i="1" s="1"/>
  <c r="O41" i="1" a="1"/>
  <c r="O41" i="1" s="1"/>
  <c r="O43" i="1" a="1"/>
  <c r="O43" i="1" s="1"/>
  <c r="O44" i="1" a="1"/>
  <c r="O44" i="1" s="1"/>
  <c r="O45" i="1" a="1"/>
  <c r="O45" i="1" s="1"/>
  <c r="O46" i="1" a="1"/>
  <c r="O46" i="1" s="1"/>
  <c r="O48" i="1" a="1"/>
  <c r="O48" i="1" s="1"/>
  <c r="O47" i="1" a="1"/>
  <c r="O47" i="1" s="1"/>
  <c r="O49" i="1" a="1"/>
  <c r="O49" i="1" s="1"/>
  <c r="O50" i="1" a="1"/>
  <c r="O50" i="1" s="1"/>
  <c r="N3" i="1" a="1"/>
  <c r="N3" i="1" s="1"/>
  <c r="N4" i="1" a="1"/>
  <c r="N4" i="1" s="1"/>
  <c r="N6" i="1" a="1"/>
  <c r="N6" i="1" s="1"/>
  <c r="N5" i="1" a="1"/>
  <c r="N5" i="1" s="1"/>
  <c r="N7" i="1" a="1"/>
  <c r="N7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6" i="1" a="1"/>
  <c r="N16" i="1" s="1"/>
  <c r="N17" i="1" a="1"/>
  <c r="N17" i="1" s="1"/>
  <c r="N19" i="1" a="1"/>
  <c r="N19" i="1" s="1"/>
  <c r="N20" i="1" a="1"/>
  <c r="N20" i="1" s="1"/>
  <c r="N22" i="1" a="1"/>
  <c r="N22" i="1" s="1"/>
  <c r="N23" i="1" a="1"/>
  <c r="N23" i="1" s="1"/>
  <c r="N21" i="1" a="1"/>
  <c r="N21" i="1" s="1"/>
  <c r="N24" i="1" a="1"/>
  <c r="N24" i="1" s="1"/>
  <c r="N25" i="1" a="1"/>
  <c r="N25" i="1" s="1"/>
  <c r="N26" i="1" a="1"/>
  <c r="N26" i="1" s="1"/>
  <c r="N27" i="1" a="1"/>
  <c r="N27" i="1" s="1"/>
  <c r="N29" i="1" a="1"/>
  <c r="N29" i="1" s="1"/>
  <c r="N28" i="1" a="1"/>
  <c r="N28" i="1" s="1"/>
  <c r="N30" i="1" a="1"/>
  <c r="N30" i="1" s="1"/>
  <c r="N31" i="1" a="1"/>
  <c r="N31" i="1" s="1"/>
  <c r="N32" i="1" a="1"/>
  <c r="N32" i="1" s="1"/>
  <c r="N33" i="1" a="1"/>
  <c r="N33" i="1" s="1"/>
  <c r="N35" i="1" a="1"/>
  <c r="N35" i="1" s="1"/>
  <c r="N36" i="1" a="1"/>
  <c r="N36" i="1" s="1"/>
  <c r="N34" i="1" a="1"/>
  <c r="N34" i="1" s="1"/>
  <c r="N37" i="1" a="1"/>
  <c r="N37" i="1" s="1"/>
  <c r="N38" i="1" a="1"/>
  <c r="N38" i="1" s="1"/>
  <c r="N39" i="1" a="1"/>
  <c r="N39" i="1" s="1"/>
  <c r="N40" i="1" a="1"/>
  <c r="N40" i="1" s="1"/>
  <c r="N42" i="1" a="1"/>
  <c r="N42" i="1" s="1"/>
  <c r="N41" i="1" a="1"/>
  <c r="N41" i="1" s="1"/>
  <c r="N43" i="1" a="1"/>
  <c r="N43" i="1" s="1"/>
  <c r="N44" i="1" a="1"/>
  <c r="N44" i="1" s="1"/>
  <c r="N45" i="1" a="1"/>
  <c r="N45" i="1" s="1"/>
  <c r="N46" i="1" a="1"/>
  <c r="N46" i="1" s="1"/>
  <c r="N48" i="1" a="1"/>
  <c r="N48" i="1" s="1"/>
  <c r="N47" i="1" a="1"/>
  <c r="N47" i="1" s="1"/>
  <c r="N49" i="1" a="1"/>
  <c r="N49" i="1" s="1"/>
  <c r="N50" i="1" a="1"/>
  <c r="N50" i="1" s="1"/>
  <c r="D60" i="1"/>
  <c r="G4" i="2" l="1"/>
  <c r="F4" i="2"/>
  <c r="C68" i="1"/>
  <c r="D66" i="1" s="1"/>
  <c r="D72" i="1"/>
  <c r="D73" i="1"/>
  <c r="C74" i="1"/>
  <c r="D61" i="1"/>
  <c r="D74" i="1" l="1"/>
  <c r="D62" i="1"/>
  <c r="D67" i="1"/>
  <c r="D68" i="1" s="1"/>
  <c r="E4" i="2" a="1"/>
  <c r="E4" i="2" s="1"/>
  <c r="D4" i="2" a="1"/>
  <c r="D4" i="2" s="1"/>
  <c r="U3" i="1" l="1" a="1"/>
  <c r="U3" i="1" s="1"/>
  <c r="U9" i="1" a="1"/>
  <c r="U9" i="1" s="1"/>
  <c r="U15" i="1" a="1"/>
  <c r="U15" i="1" s="1"/>
  <c r="U21" i="1" a="1"/>
  <c r="U21" i="1" s="1"/>
  <c r="U4" i="1" a="1"/>
  <c r="U4" i="1" s="1"/>
  <c r="U10" i="1" a="1"/>
  <c r="U10" i="1" s="1"/>
  <c r="U16" i="1" a="1"/>
  <c r="U16" i="1" s="1"/>
  <c r="U5" i="1" a="1"/>
  <c r="U5" i="1" s="1"/>
  <c r="U11" i="1" a="1"/>
  <c r="U11" i="1" s="1"/>
  <c r="U17" i="1" a="1"/>
  <c r="U17" i="1" s="1"/>
  <c r="U13" i="1" a="1"/>
  <c r="U13" i="1" s="1"/>
  <c r="U14" i="1" a="1"/>
  <c r="U14" i="1" s="1"/>
  <c r="U6" i="1" a="1"/>
  <c r="U6" i="1" s="1"/>
  <c r="U18" i="1" a="1"/>
  <c r="U18" i="1" s="1"/>
  <c r="U7" i="1" a="1"/>
  <c r="U7" i="1" s="1"/>
  <c r="U19" i="1" a="1"/>
  <c r="U19" i="1" s="1"/>
  <c r="U20" i="1" a="1"/>
  <c r="U20" i="1" s="1"/>
  <c r="U12" i="1" a="1"/>
  <c r="U12" i="1" s="1"/>
  <c r="U8" i="1" a="1"/>
  <c r="U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4DED9-929A-4177-B546-E5E997B1C552}" name="Query - Colors" description="Connection to the 'Colors' query in the workbook." type="100" refreshedVersion="7" minRefreshableVersion="5">
    <extLst>
      <ext xmlns:x15="http://schemas.microsoft.com/office/spreadsheetml/2010/11/main" uri="{DE250136-89BD-433C-8126-D09CA5730AF9}">
        <x15:connection id="2008d000-311e-4cb5-a872-ab756b7770e2"/>
      </ext>
    </extLst>
  </connection>
  <connection id="2" xr16:uid="{BF9FDC21-61A2-4F21-900C-228B47ACC0CF}" name="Query - KeyTable" description="Connection to the 'KeyTable' query in the workbook." type="100" refreshedVersion="7" minRefreshableVersion="5">
    <extLst>
      <ext xmlns:x15="http://schemas.microsoft.com/office/spreadsheetml/2010/11/main" uri="{DE250136-89BD-433C-8126-D09CA5730AF9}">
        <x15:connection id="f7e82c45-a653-44ae-9dda-6720185fb635"/>
      </ext>
    </extLst>
  </connection>
  <connection id="3" xr16:uid="{E778838B-A98B-4698-9FD0-E6913B33E2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<sst xmlns="http://schemas.openxmlformats.org/spreadsheetml/2006/main" count="496" uniqueCount="234">
  <si>
    <t>Table Color Explanations</t>
  </si>
  <si>
    <t>Cell Name</t>
  </si>
  <si>
    <t>Where Used</t>
  </si>
  <si>
    <t>Typing Notes</t>
  </si>
  <si>
    <t>Warnings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</si>
  <si>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</si>
  <si>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</si>
  <si>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</si>
  <si>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</si>
  <si>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</si>
  <si>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</si>
  <si>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</si>
  <si>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</si>
  <si>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</si>
  <si>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</si>
  <si>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</si>
  <si>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</si>
  <si>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</si>
  <si>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</si>
  <si>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</si>
  <si>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</si>
  <si>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</si>
  <si>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</si>
  <si>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</si>
  <si>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</si>
  <si>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</si>
  <si>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</si>
  <si>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</si>
  <si>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</si>
  <si>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</si>
  <si>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</si>
  <si>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</si>
  <si>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</si>
  <si>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</si>
  <si>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</si>
  <si>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</si>
  <si>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</si>
  <si>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</si>
  <si>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</si>
  <si>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</si>
  <si>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</si>
  <si>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</si>
  <si>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</si>
  <si>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</si>
  <si>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</si>
  <si>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</si>
  <si>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</si>
  <si>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</si>
  <si>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</si>
  <si>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</si>
  <si>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</si>
  <si>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</si>
  <si>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</si>
  <si>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</si>
  <si>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</si>
  <si>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</si>
  <si>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</si>
  <si>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</si>
  <si>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</si>
  <si>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Standard Text</t>
  </si>
  <si>
    <t>Tight Text</t>
  </si>
  <si>
    <t>Normal</t>
  </si>
  <si>
    <t>xCond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</si>
  <si>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</si>
  <si>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</si>
  <si>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</si>
  <si>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</si>
  <si>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</si>
  <si>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</si>
  <si>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</si>
  <si>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</si>
  <si>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</si>
  <si>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</si>
  <si>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</si>
  <si>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</si>
  <si>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</si>
  <si>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</si>
  <si>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</si>
  <si>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</si>
  <si>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</si>
  <si>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</si>
  <si>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</si>
  <si>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</si>
  <si>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</si>
  <si>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</si>
  <si>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</si>
  <si>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</si>
  <si>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</si>
  <si>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</si>
  <si>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</si>
  <si>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</si>
  <si>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</si>
  <si>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</si>
  <si>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</si>
  <si>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</si>
  <si>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</si>
  <si>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T1</t>
  </si>
  <si>
    <t>T2</t>
  </si>
  <si>
    <t>Deactivated Key Header</t>
  </si>
  <si>
    <t>Deactivated Cell</t>
  </si>
  <si>
    <t>Active Disabled</t>
  </si>
  <si>
    <t>B1</t>
  </si>
  <si>
    <t>A4</t>
  </si>
  <si>
    <t>A3</t>
  </si>
  <si>
    <t>Box D/V</t>
  </si>
  <si>
    <t>A1</t>
  </si>
  <si>
    <t>Query D/V</t>
  </si>
  <si>
    <t>Error D/V</t>
  </si>
  <si>
    <t>A5</t>
  </si>
  <si>
    <t>A6</t>
  </si>
  <si>
    <t>Internal D/V</t>
  </si>
  <si>
    <t>Calculated D/V</t>
  </si>
  <si>
    <t>Calculated Key Header</t>
  </si>
  <si>
    <t>Cell will contain a formula or header</t>
  </si>
  <si>
    <t>YN</t>
  </si>
  <si>
    <t>Yes</t>
  </si>
  <si>
    <t>No</t>
  </si>
  <si>
    <t>StyleName</t>
  </si>
  <si>
    <t>CalcHdKey</t>
  </si>
  <si>
    <t>CalcHd</t>
  </si>
  <si>
    <t>CalcVal</t>
  </si>
  <si>
    <t>CalcCell</t>
  </si>
  <si>
    <t>QueVal</t>
  </si>
  <si>
    <t>IntVal</t>
  </si>
  <si>
    <t>xMono</t>
  </si>
  <si>
    <t>Monospaced Text</t>
  </si>
  <si>
    <t>OCRB 11pt</t>
  </si>
  <si>
    <t>IntKey</t>
  </si>
  <si>
    <t>IntHd</t>
  </si>
  <si>
    <t>IntHdKey</t>
  </si>
  <si>
    <t>IntCell</t>
  </si>
  <si>
    <t>ActNote</t>
  </si>
  <si>
    <t>QueHdKey</t>
  </si>
  <si>
    <t>QueCell</t>
  </si>
  <si>
    <t>QueKey</t>
  </si>
  <si>
    <t>QueHd</t>
  </si>
  <si>
    <t>ActGood</t>
  </si>
  <si>
    <t>ActMiss</t>
  </si>
  <si>
    <t>ActError</t>
  </si>
  <si>
    <t>InpKey</t>
  </si>
  <si>
    <t>InpCell</t>
  </si>
  <si>
    <t>InpVal</t>
  </si>
  <si>
    <t>InpHd</t>
  </si>
  <si>
    <t>InpHdKey</t>
  </si>
  <si>
    <t>ErrHdKey</t>
  </si>
  <si>
    <t>ErrHd</t>
  </si>
  <si>
    <t>ErrVal</t>
  </si>
  <si>
    <t>ErrKey</t>
  </si>
  <si>
    <t>ErrCell</t>
  </si>
  <si>
    <t>BoxCell</t>
  </si>
  <si>
    <t>BoxVal</t>
  </si>
  <si>
    <t>BoxHd</t>
  </si>
  <si>
    <t>ActDeac</t>
  </si>
  <si>
    <t>InpDate</t>
  </si>
  <si>
    <t>Input Date</t>
  </si>
  <si>
    <t>Date Format</t>
  </si>
  <si>
    <t>DeacHd</t>
  </si>
  <si>
    <t>DeacCell</t>
  </si>
  <si>
    <t>Base</t>
  </si>
  <si>
    <t>A2</t>
  </si>
  <si>
    <t>CalcKey</t>
  </si>
  <si>
    <t>Calculated Key</t>
  </si>
  <si>
    <t>B2</t>
  </si>
  <si>
    <t>Active Note</t>
  </si>
  <si>
    <t>ActBox</t>
  </si>
  <si>
    <t>Notes and Instructions</t>
  </si>
  <si>
    <t>Cell will contain information</t>
  </si>
  <si>
    <t>Fnt</t>
  </si>
  <si>
    <t>BoxTitle</t>
  </si>
  <si>
    <t>Box Title (16 pt Font)</t>
  </si>
  <si>
    <t>LkpHdKey</t>
  </si>
  <si>
    <t>LkpHd</t>
  </si>
  <si>
    <t>LkpDate</t>
  </si>
  <si>
    <t>LkpVal</t>
  </si>
  <si>
    <t>LkpKey</t>
  </si>
  <si>
    <t>LkpCell</t>
  </si>
  <si>
    <t>Lookup Key Header</t>
  </si>
  <si>
    <t>Lookup Header</t>
  </si>
  <si>
    <t>Lookup Date</t>
  </si>
  <si>
    <t>Lookup Value</t>
  </si>
  <si>
    <t>Lookup Key</t>
  </si>
  <si>
    <t>Lookup Cell</t>
  </si>
  <si>
    <t>Active Lookup Not Found</t>
  </si>
  <si>
    <t>ActFind</t>
  </si>
  <si>
    <t>Tables, Reference Cells</t>
  </si>
  <si>
    <t>Cell contains referenced data</t>
  </si>
  <si>
    <t>Cell contains a referenced value</t>
  </si>
  <si>
    <t>LookupKey1</t>
  </si>
  <si>
    <t>LookupColumn2</t>
  </si>
  <si>
    <t>Lookup Referenced Value</t>
  </si>
  <si>
    <t>CalcColumn</t>
  </si>
  <si>
    <t>BOv</t>
  </si>
  <si>
    <t>L35</t>
  </si>
  <si>
    <t>D25</t>
  </si>
  <si>
    <t>D15</t>
  </si>
  <si>
    <t>D5</t>
  </si>
  <si>
    <t>D50</t>
  </si>
  <si>
    <t>L60</t>
  </si>
  <si>
    <t>FOv</t>
  </si>
  <si>
    <t>L50</t>
  </si>
  <si>
    <t>POv</t>
  </si>
  <si>
    <t>Pat</t>
  </si>
  <si>
    <t>Txt Fmt</t>
  </si>
  <si>
    <t>Pattern Set, Txt Fmt</t>
  </si>
  <si>
    <t>Cent HV, 16 Pt, Txt Fmt</t>
  </si>
  <si>
    <t>Centered HV, Txt Fmt</t>
  </si>
  <si>
    <t>Cent HV, P Set, Ital, Txt Fmt</t>
  </si>
  <si>
    <t>P Set, Ital, Txt Fmt</t>
  </si>
  <si>
    <t>Boolean Values</t>
  </si>
  <si>
    <t>BoolName</t>
  </si>
  <si>
    <t>YNName</t>
  </si>
  <si>
    <t>Lookup Table</t>
  </si>
  <si>
    <t>Internal Table</t>
  </si>
  <si>
    <t>Query Table</t>
  </si>
  <si>
    <t>L80</t>
  </si>
  <si>
    <t>Box Key Header</t>
  </si>
  <si>
    <t>BoxHdKey</t>
  </si>
  <si>
    <t>Box Key</t>
  </si>
  <si>
    <t>BoxKey</t>
  </si>
  <si>
    <t>TxClr</t>
  </si>
  <si>
    <t>BgClr</t>
  </si>
  <si>
    <t>PtClr</t>
  </si>
  <si>
    <t>DeacHdKey</t>
  </si>
  <si>
    <t>#954F72 B,UL Bahnschrift 11pt</t>
  </si>
  <si>
    <t>#0563C1 B,UL Bahnschrift 11pt</t>
  </si>
  <si>
    <t>Added Title</t>
  </si>
  <si>
    <t>Opt</t>
  </si>
  <si>
    <t>L40</t>
  </si>
  <si>
    <t>Cell Title</t>
  </si>
  <si>
    <t>Headers</t>
  </si>
  <si>
    <t>Cells</t>
  </si>
  <si>
    <t>Size &amp; Property Overrides</t>
  </si>
  <si>
    <t>Sets Font</t>
  </si>
  <si>
    <t>Sets Fmt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</si>
</sst>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mm\-dd\-yy"/>
  </numFmts>
  <fonts count="46" x14ac:knownFonts="1">
    <font>
      <sz val="11"/>
      <color theme="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OCRB"/>
      <family val="3"/>
    </font>
    <font>
      <sz val="16"/>
      <color theme="4" tint="0.79992065187536243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theme="4" tint="-0.499984740745262"/>
      <name val="OCRB"/>
      <family val="3"/>
    </font>
  </fonts>
  <fills count="8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darkDown">
        <fgColor theme="7" tint="0.79998168889431442"/>
        <b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2" tint="-4.9989318521683403E-2"/>
        <bgColor indexed="64"/>
      </patternFill>
    </fill>
    <fill>
      <patternFill patternType="darkDown">
        <fgColor theme="3"/>
        <bgColor theme="3" tint="-0.499984740745262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9" tint="0.79995117038483843"/>
        <bgColor theme="9" tint="0.59996337778862885"/>
      </patternFill>
    </fill>
    <fill>
      <patternFill patternType="darkDown">
        <fgColor theme="8" tint="0.79995117038483843"/>
        <bgColor theme="8" tint="0.39994506668294322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99">
    <xf numFmtId="0" fontId="0" fillId="0" borderId="0" applyNumberFormat="0" applyFill="0" applyBorder="0" applyAlignment="0" applyProtection="0"/>
    <xf numFmtId="49" fontId="36" fillId="75" borderId="1">
      <alignment horizontal="center" vertical="center"/>
    </xf>
    <xf numFmtId="0" fontId="21" fillId="54" borderId="1" applyNumberFormat="0" applyAlignment="0"/>
    <xf numFmtId="0" fontId="21" fillId="2" borderId="1" applyNumberFormat="0" applyAlignment="0"/>
    <xf numFmtId="0" fontId="21" fillId="73" borderId="1" applyNumberFormat="0" applyAlignment="0"/>
    <xf numFmtId="0" fontId="21" fillId="49" borderId="1" applyNumberFormat="0" applyAlignment="0"/>
    <xf numFmtId="0" fontId="1" fillId="3" borderId="1" applyNumberFormat="0" applyFill="0" applyBorder="0" applyAlignment="0" applyProtection="0"/>
    <xf numFmtId="0" fontId="2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10" applyNumberFormat="0" applyAlignment="0" applyProtection="0"/>
    <xf numFmtId="0" fontId="12" fillId="8" borderId="11" applyNumberFormat="0" applyAlignment="0" applyProtection="0"/>
    <xf numFmtId="0" fontId="13" fillId="8" borderId="10" applyNumberFormat="0" applyAlignment="0" applyProtection="0"/>
    <xf numFmtId="0" fontId="14" fillId="0" borderId="12" applyNumberFormat="0" applyFill="0" applyAlignment="0" applyProtection="0"/>
    <xf numFmtId="0" fontId="15" fillId="9" borderId="13" applyNumberFormat="0" applyAlignment="0" applyProtection="0"/>
    <xf numFmtId="0" fontId="16" fillId="0" borderId="0" applyNumberFormat="0" applyFill="0" applyBorder="0" applyAlignment="0" applyProtection="0"/>
    <xf numFmtId="0" fontId="3" fillId="10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9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9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9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9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9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76" borderId="1" applyNumberFormat="0" applyProtection="0">
      <alignment horizontal="center" vertical="center"/>
    </xf>
    <xf numFmtId="0" fontId="22" fillId="0" borderId="0" applyNumberFormat="0" applyFill="0" applyBorder="0" applyAlignment="0" applyProtection="0"/>
    <xf numFmtId="0" fontId="37" fillId="56" borderId="1" applyNumberFormat="0" applyProtection="0">
      <alignment horizontal="center" vertical="center"/>
    </xf>
    <xf numFmtId="0" fontId="30" fillId="80" borderId="1" applyNumberFormat="0" applyAlignment="0"/>
    <xf numFmtId="0" fontId="3" fillId="3" borderId="1" applyFill="0" applyBorder="0" applyAlignment="0" applyProtection="0"/>
    <xf numFmtId="49" fontId="43" fillId="35" borderId="1" applyAlignment="0"/>
    <xf numFmtId="0" fontId="38" fillId="72" borderId="1" applyNumberFormat="0" applyAlignment="0"/>
    <xf numFmtId="49" fontId="24" fillId="63" borderId="1" applyAlignment="0"/>
    <xf numFmtId="0" fontId="34" fillId="35" borderId="1" applyNumberFormat="0" applyAlignment="0"/>
    <xf numFmtId="0" fontId="24" fillId="46" borderId="1" applyNumberFormat="0" applyAlignment="0"/>
    <xf numFmtId="0" fontId="35" fillId="47" borderId="1" applyNumberFormat="0" applyAlignment="0"/>
    <xf numFmtId="0" fontId="31" fillId="78" borderId="1" applyNumberFormat="0" applyAlignment="0"/>
    <xf numFmtId="0" fontId="41" fillId="55" borderId="1" applyNumberFormat="0" applyAlignment="0">
      <protection locked="0"/>
    </xf>
    <xf numFmtId="49" fontId="32" fillId="79" borderId="1" applyAlignment="0"/>
    <xf numFmtId="0" fontId="29" fillId="44" borderId="1" applyNumberFormat="0" applyAlignment="0"/>
    <xf numFmtId="0" fontId="3" fillId="45" borderId="1" applyNumberFormat="0" applyAlignment="0"/>
    <xf numFmtId="164" fontId="3" fillId="67" borderId="1" applyAlignment="0">
      <alignment horizontal="left"/>
    </xf>
    <xf numFmtId="0" fontId="3" fillId="67" borderId="1" applyNumberFormat="0" applyAlignment="0">
      <alignment horizontal="left"/>
    </xf>
    <xf numFmtId="0" fontId="21" fillId="70" borderId="1" applyNumberFormat="0" applyAlignment="0"/>
    <xf numFmtId="0" fontId="21" fillId="51" borderId="1" applyNumberFormat="0" applyAlignment="0"/>
    <xf numFmtId="49" fontId="27" fillId="40" borderId="1" applyAlignment="0"/>
    <xf numFmtId="49" fontId="27" fillId="41" borderId="1" applyAlignment="0"/>
    <xf numFmtId="0" fontId="3" fillId="69" borderId="1" applyNumberFormat="0" applyAlignment="0"/>
    <xf numFmtId="49" fontId="26" fillId="37" borderId="1" applyAlignment="0"/>
    <xf numFmtId="49" fontId="26" fillId="36" borderId="1" applyAlignment="0"/>
    <xf numFmtId="49" fontId="25" fillId="38" borderId="1" applyAlignment="0"/>
    <xf numFmtId="49" fontId="25" fillId="39" borderId="1" applyAlignment="0"/>
    <xf numFmtId="0" fontId="3" fillId="66" borderId="1" applyNumberFormat="0" applyAlignment="0"/>
    <xf numFmtId="0" fontId="21" fillId="68" borderId="1" applyNumberFormat="0" applyAlignment="0"/>
    <xf numFmtId="0" fontId="21" fillId="50" borderId="1" applyNumberFormat="0" applyAlignment="0"/>
    <xf numFmtId="49" fontId="39" fillId="42" borderId="1">
      <alignment horizontal="center" vertical="center"/>
    </xf>
    <xf numFmtId="49" fontId="43" fillId="65" borderId="1" applyAlignment="0"/>
    <xf numFmtId="0" fontId="28" fillId="71" borderId="1" applyNumberFormat="0" applyAlignment="0"/>
    <xf numFmtId="0" fontId="28" fillId="62" borderId="1" applyNumberFormat="0" applyAlignment="0"/>
    <xf numFmtId="49" fontId="42" fillId="77" borderId="1">
      <alignment horizontal="center" vertical="center"/>
    </xf>
    <xf numFmtId="49" fontId="40" fillId="59" borderId="1" applyAlignment="0"/>
    <xf numFmtId="49" fontId="40" fillId="58" borderId="1" applyAlignment="0"/>
    <xf numFmtId="164" fontId="3" fillId="74" borderId="1" applyAlignment="0">
      <protection locked="0"/>
    </xf>
    <xf numFmtId="0" fontId="3" fillId="74" borderId="1" applyNumberFormat="0" applyAlignment="0">
      <alignment horizontal="left"/>
      <protection locked="0"/>
    </xf>
    <xf numFmtId="0" fontId="21" fillId="60" borderId="1" applyNumberFormat="0" applyAlignment="0">
      <protection locked="0"/>
    </xf>
    <xf numFmtId="0" fontId="21" fillId="52" borderId="1" applyNumberFormat="0" applyAlignment="0">
      <protection locked="0"/>
    </xf>
    <xf numFmtId="0" fontId="33" fillId="61" borderId="1" applyNumberFormat="0" applyAlignment="0">
      <protection locked="0"/>
    </xf>
    <xf numFmtId="49" fontId="29" fillId="64" borderId="1" applyAlignment="0"/>
    <xf numFmtId="49" fontId="36" fillId="42" borderId="1">
      <alignment horizontal="center" vertical="center"/>
    </xf>
    <xf numFmtId="0" fontId="37" fillId="43" borderId="1" applyNumberFormat="0" applyProtection="0">
      <alignment horizontal="center" vertical="center"/>
    </xf>
  </cellStyleXfs>
  <cellXfs count="136">
    <xf numFmtId="0" fontId="0" fillId="0" borderId="0" xfId="0"/>
    <xf numFmtId="0" fontId="45" fillId="76" borderId="1" xfId="54" applyNumberFormat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1" fillId="0" borderId="1" xfId="0" applyFont="1" applyFill="1" applyBorder="1"/>
    <xf numFmtId="0" fontId="29" fillId="44" borderId="1" xfId="68"/>
    <xf numFmtId="0" fontId="21" fillId="73" borderId="1" xfId="4"/>
    <xf numFmtId="0" fontId="3" fillId="45" borderId="1" xfId="69"/>
    <xf numFmtId="0" fontId="23" fillId="50" borderId="5" xfId="7" applyFill="1" applyBorder="1" applyAlignment="1">
      <alignment horizontal="center"/>
    </xf>
    <xf numFmtId="0" fontId="0" fillId="50" borderId="6" xfId="0" applyFill="1" applyBorder="1" applyAlignment="1">
      <alignment horizontal="center"/>
    </xf>
    <xf numFmtId="0" fontId="22" fillId="51" borderId="5" xfId="55" applyFill="1" applyBorder="1" applyAlignment="1">
      <alignment horizontal="center"/>
    </xf>
    <xf numFmtId="0" fontId="0" fillId="51" borderId="6" xfId="0" applyFill="1" applyBorder="1" applyAlignment="1">
      <alignment horizontal="center"/>
    </xf>
    <xf numFmtId="0" fontId="1" fillId="52" borderId="5" xfId="6" applyFill="1" applyBorder="1" applyAlignment="1">
      <alignment horizontal="center"/>
    </xf>
    <xf numFmtId="0" fontId="1" fillId="52" borderId="16" xfId="6" applyFill="1" applyBorder="1" applyAlignment="1">
      <alignment horizontal="center"/>
    </xf>
    <xf numFmtId="0" fontId="1" fillId="52" borderId="6" xfId="6" applyFill="1" applyBorder="1" applyAlignment="1">
      <alignment horizontal="center"/>
    </xf>
    <xf numFmtId="0" fontId="1" fillId="53" borderId="1" xfId="6" applyFill="1" applyBorder="1" applyAlignment="1">
      <alignment horizontal="center"/>
    </xf>
    <xf numFmtId="0" fontId="0" fillId="54" borderId="16" xfId="0" applyFill="1" applyBorder="1" applyAlignment="1">
      <alignment horizontal="center"/>
    </xf>
    <xf numFmtId="0" fontId="0" fillId="54" borderId="6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3" fillId="57" borderId="0" xfId="58" applyFill="1" applyBorder="1" applyAlignment="1">
      <alignment horizontal="center"/>
    </xf>
    <xf numFmtId="0" fontId="3" fillId="56" borderId="5" xfId="58" applyFill="1" applyBorder="1" applyAlignment="1">
      <alignment horizontal="center"/>
    </xf>
    <xf numFmtId="0" fontId="3" fillId="56" borderId="16" xfId="58" applyFill="1" applyBorder="1" applyAlignment="1">
      <alignment horizontal="center"/>
    </xf>
    <xf numFmtId="0" fontId="3" fillId="56" borderId="6" xfId="58" applyFill="1" applyBorder="1" applyAlignment="1">
      <alignment horizontal="center"/>
    </xf>
    <xf numFmtId="0" fontId="3" fillId="67" borderId="1" xfId="71" applyAlignment="1"/>
    <xf numFmtId="0" fontId="21" fillId="70" borderId="1" xfId="72"/>
    <xf numFmtId="0" fontId="21" fillId="51" borderId="1" xfId="73"/>
    <xf numFmtId="49" fontId="26" fillId="37" borderId="1" xfId="77"/>
    <xf numFmtId="0" fontId="21" fillId="49" borderId="1" xfId="5"/>
    <xf numFmtId="164" fontId="3" fillId="67" borderId="1" xfId="70" applyAlignment="1"/>
    <xf numFmtId="0" fontId="34" fillId="35" borderId="1" xfId="62"/>
    <xf numFmtId="0" fontId="24" fillId="46" borderId="1" xfId="63"/>
    <xf numFmtId="0" fontId="0" fillId="0" borderId="17" xfId="0" applyBorder="1"/>
    <xf numFmtId="0" fontId="37" fillId="56" borderId="1" xfId="56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43" fillId="35" borderId="1" xfId="59"/>
    <xf numFmtId="0" fontId="28" fillId="62" borderId="1" xfId="87"/>
    <xf numFmtId="49" fontId="43" fillId="35" borderId="1" xfId="59" applyBorder="1"/>
    <xf numFmtId="0" fontId="38" fillId="72" borderId="1" xfId="60" applyBorder="1"/>
    <xf numFmtId="0" fontId="28" fillId="71" borderId="1" xfId="86" applyBorder="1"/>
    <xf numFmtId="0" fontId="28" fillId="62" borderId="1" xfId="87" applyNumberFormat="1" applyBorder="1"/>
    <xf numFmtId="0" fontId="28" fillId="62" borderId="1" xfId="87" applyBorder="1"/>
    <xf numFmtId="0" fontId="36" fillId="75" borderId="1" xfId="1" applyNumberFormat="1" applyBorder="1" applyAlignment="1">
      <alignment horizontal="left" vertical="center"/>
    </xf>
    <xf numFmtId="49" fontId="36" fillId="75" borderId="1" xfId="1" applyBorder="1" applyAlignment="1">
      <alignment horizontal="left" vertical="center"/>
    </xf>
    <xf numFmtId="0" fontId="45" fillId="76" borderId="1" xfId="54" applyBorder="1" applyAlignment="1"/>
    <xf numFmtId="0" fontId="41" fillId="55" borderId="1" xfId="66" applyBorder="1">
      <protection locked="0"/>
    </xf>
    <xf numFmtId="49" fontId="27" fillId="40" borderId="1" xfId="74" applyBorder="1"/>
    <xf numFmtId="49" fontId="27" fillId="41" borderId="1" xfId="75" applyBorder="1"/>
    <xf numFmtId="0" fontId="3" fillId="69" borderId="1" xfId="76" applyBorder="1"/>
    <xf numFmtId="0" fontId="21" fillId="2" borderId="1" xfId="3" applyBorder="1"/>
    <xf numFmtId="0" fontId="21" fillId="54" borderId="1" xfId="2" applyBorder="1"/>
    <xf numFmtId="0" fontId="30" fillId="80" borderId="1" xfId="57" applyBorder="1"/>
    <xf numFmtId="49" fontId="25" fillId="38" borderId="1" xfId="79"/>
    <xf numFmtId="49" fontId="44" fillId="42" borderId="1" xfId="84" applyFont="1" applyAlignment="1">
      <alignment horizontal="left"/>
    </xf>
    <xf numFmtId="49" fontId="24" fillId="63" borderId="1" xfId="61"/>
    <xf numFmtId="49" fontId="43" fillId="65" borderId="1" xfId="85"/>
    <xf numFmtId="0" fontId="37" fillId="56" borderId="1" xfId="56" applyAlignment="1">
      <alignment horizontal="left"/>
    </xf>
    <xf numFmtId="49" fontId="42" fillId="77" borderId="1" xfId="88" applyAlignment="1">
      <alignment horizontal="left" vertical="center"/>
    </xf>
    <xf numFmtId="49" fontId="40" fillId="59" borderId="1" xfId="89"/>
    <xf numFmtId="0" fontId="35" fillId="47" borderId="1" xfId="64"/>
    <xf numFmtId="9" fontId="38" fillId="72" borderId="1" xfId="60" applyNumberFormat="1" applyAlignment="1">
      <alignment horizontal="center"/>
    </xf>
    <xf numFmtId="0" fontId="21" fillId="51" borderId="1" xfId="73" applyNumberFormat="1"/>
    <xf numFmtId="0" fontId="3" fillId="67" borderId="1" xfId="71" applyNumberFormat="1" applyAlignment="1">
      <alignment horizontal="left"/>
    </xf>
    <xf numFmtId="49" fontId="26" fillId="36" borderId="1" xfId="78"/>
    <xf numFmtId="49" fontId="40" fillId="58" borderId="1" xfId="90"/>
    <xf numFmtId="0" fontId="3" fillId="74" borderId="1" xfId="92" applyNumberFormat="1" applyAlignment="1">
      <alignment horizontal="left"/>
      <protection locked="0"/>
    </xf>
    <xf numFmtId="0" fontId="3" fillId="74" borderId="1" xfId="92" applyAlignment="1">
      <protection locked="0"/>
    </xf>
    <xf numFmtId="0" fontId="21" fillId="60" borderId="1" xfId="93">
      <protection locked="0"/>
    </xf>
    <xf numFmtId="0" fontId="21" fillId="52" borderId="1" xfId="94" applyNumberFormat="1">
      <protection locked="0"/>
    </xf>
    <xf numFmtId="0" fontId="21" fillId="52" borderId="1" xfId="94">
      <protection locked="0"/>
    </xf>
    <xf numFmtId="0" fontId="31" fillId="78" borderId="1" xfId="65"/>
    <xf numFmtId="164" fontId="3" fillId="74" borderId="1" xfId="91" applyAlignment="1">
      <protection locked="0"/>
    </xf>
    <xf numFmtId="0" fontId="33" fillId="61" borderId="1" xfId="95">
      <protection locked="0"/>
    </xf>
    <xf numFmtId="49" fontId="29" fillId="64" borderId="1" xfId="96"/>
    <xf numFmtId="49" fontId="25" fillId="39" borderId="1" xfId="80"/>
    <xf numFmtId="0" fontId="3" fillId="66" borderId="1" xfId="81"/>
    <xf numFmtId="0" fontId="21" fillId="68" borderId="1" xfId="82"/>
    <xf numFmtId="0" fontId="21" fillId="50" borderId="1" xfId="83"/>
    <xf numFmtId="49" fontId="32" fillId="79" borderId="1" xfId="67"/>
    <xf numFmtId="0" fontId="38" fillId="72" borderId="1" xfId="60" applyAlignment="1">
      <alignment horizontal="left"/>
    </xf>
    <xf numFmtId="0" fontId="38" fillId="72" borderId="1" xfId="60" applyAlignment="1">
      <alignment horizontal="center"/>
    </xf>
    <xf numFmtId="0" fontId="38" fillId="72" borderId="1" xfId="60"/>
    <xf numFmtId="49" fontId="43" fillId="35" borderId="1" xfId="59" applyAlignment="1">
      <alignment horizontal="center"/>
    </xf>
    <xf numFmtId="49" fontId="36" fillId="42" borderId="1" xfId="97" applyAlignment="1">
      <alignment vertical="center"/>
    </xf>
    <xf numFmtId="0" fontId="37" fillId="43" borderId="1" xfId="98" applyAlignment="1">
      <alignment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49" fontId="43" fillId="35" borderId="2" xfId="59" applyBorder="1"/>
    <xf numFmtId="0" fontId="3" fillId="0" borderId="20" xfId="58" applyFill="1" applyBorder="1" applyAlignment="1">
      <alignment horizontal="center"/>
    </xf>
    <xf numFmtId="49" fontId="43" fillId="35" borderId="4" xfId="59" applyBorder="1" applyAlignment="1">
      <alignment horizontal="center"/>
    </xf>
    <xf numFmtId="0" fontId="38" fillId="72" borderId="4" xfId="6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/>
    <xf numFmtId="0" fontId="1" fillId="0" borderId="3" xfId="6" applyFill="1" applyBorder="1" applyAlignment="1">
      <alignment horizontal="center"/>
    </xf>
    <xf numFmtId="0" fontId="1" fillId="0" borderId="33" xfId="6" applyFill="1" applyBorder="1" applyAlignment="1">
      <alignment horizontal="center"/>
    </xf>
    <xf numFmtId="0" fontId="1" fillId="0" borderId="34" xfId="6" applyFill="1" applyBorder="1" applyAlignment="1">
      <alignment horizontal="center"/>
    </xf>
    <xf numFmtId="0" fontId="28" fillId="62" borderId="6" xfId="87" applyBorder="1"/>
    <xf numFmtId="0" fontId="38" fillId="72" borderId="35" xfId="60" applyBorder="1" applyAlignment="1">
      <alignment horizontal="left"/>
    </xf>
    <xf numFmtId="0" fontId="38" fillId="72" borderId="6" xfId="60" applyBorder="1" applyAlignment="1">
      <alignment horizontal="left"/>
    </xf>
    <xf numFmtId="0" fontId="38" fillId="72" borderId="6" xfId="60" applyBorder="1"/>
    <xf numFmtId="0" fontId="38" fillId="72" borderId="1" xfId="60" applyBorder="1" applyAlignment="1">
      <alignment horizontal="left"/>
    </xf>
    <xf numFmtId="0" fontId="38" fillId="72" borderId="24" xfId="60" applyBorder="1" applyAlignment="1">
      <alignment horizontal="left"/>
    </xf>
    <xf numFmtId="0" fontId="38" fillId="72" borderId="24" xfId="60" applyBorder="1"/>
    <xf numFmtId="0" fontId="28" fillId="62" borderId="31" xfId="87" applyBorder="1"/>
    <xf numFmtId="0" fontId="38" fillId="72" borderId="25" xfId="60" applyBorder="1" applyAlignment="1">
      <alignment horizontal="left"/>
    </xf>
    <xf numFmtId="0" fontId="38" fillId="72" borderId="25" xfId="60" applyNumberFormat="1" applyBorder="1" applyAlignment="1">
      <alignment horizontal="left"/>
    </xf>
    <xf numFmtId="49" fontId="26" fillId="36" borderId="1" xfId="78" applyAlignment="1">
      <alignment horizontal="center"/>
    </xf>
    <xf numFmtId="0" fontId="21" fillId="70" borderId="1" xfId="72" applyAlignment="1">
      <alignment horizontal="center"/>
    </xf>
    <xf numFmtId="49" fontId="39" fillId="42" borderId="5" xfId="84" applyBorder="1">
      <alignment horizontal="center" vertical="center"/>
    </xf>
    <xf numFmtId="49" fontId="39" fillId="42" borderId="2" xfId="84" applyBorder="1">
      <alignment horizontal="center" vertical="center"/>
    </xf>
    <xf numFmtId="49" fontId="39" fillId="42" borderId="3" xfId="84" applyBorder="1">
      <alignment horizontal="center" vertical="center"/>
    </xf>
    <xf numFmtId="49" fontId="39" fillId="42" borderId="4" xfId="84" applyBorder="1">
      <alignment horizontal="center" vertical="center"/>
    </xf>
    <xf numFmtId="49" fontId="39" fillId="42" borderId="1" xfId="84">
      <alignment horizontal="center" vertical="center"/>
    </xf>
    <xf numFmtId="49" fontId="39" fillId="42" borderId="2" xfId="84" applyBorder="1" applyAlignment="1">
      <alignment horizontal="center" vertical="center"/>
    </xf>
    <xf numFmtId="49" fontId="39" fillId="42" borderId="3" xfId="84" applyBorder="1" applyAlignment="1">
      <alignment horizontal="center" vertical="center"/>
    </xf>
    <xf numFmtId="49" fontId="39" fillId="42" borderId="4" xfId="84" applyBorder="1" applyAlignment="1">
      <alignment horizontal="center" vertical="center"/>
    </xf>
    <xf numFmtId="49" fontId="36" fillId="75" borderId="36" xfId="1" applyBorder="1" applyAlignment="1">
      <alignment horizontal="center"/>
    </xf>
    <xf numFmtId="49" fontId="36" fillId="75" borderId="37" xfId="1" applyBorder="1" applyAlignment="1">
      <alignment horizontal="center"/>
    </xf>
    <xf numFmtId="49" fontId="36" fillId="75" borderId="36" xfId="1" applyBorder="1" applyAlignment="1">
      <alignment horizontal="center" vertical="center"/>
    </xf>
    <xf numFmtId="49" fontId="36" fillId="75" borderId="37" xfId="1" applyBorder="1" applyAlignment="1">
      <alignment horizontal="center" vertical="center"/>
    </xf>
    <xf numFmtId="49" fontId="39" fillId="42" borderId="36" xfId="84" applyBorder="1" applyAlignment="1">
      <alignment horizontal="center" vertical="center"/>
    </xf>
    <xf numFmtId="49" fontId="39" fillId="42" borderId="38" xfId="84" applyBorder="1" applyAlignment="1">
      <alignment horizontal="center" vertical="center"/>
    </xf>
    <xf numFmtId="49" fontId="32" fillId="79" borderId="1" xfId="67" applyAlignment="1">
      <alignment horizontal="center"/>
    </xf>
  </cellXfs>
  <cellStyles count="99">
    <cellStyle name="20% - Accent1" xfId="31" builtinId="30" hidden="1"/>
    <cellStyle name="20% - Accent2" xfId="35" builtinId="34" hidden="1"/>
    <cellStyle name="20% - Accent3" xfId="39" builtinId="38" hidden="1"/>
    <cellStyle name="20% - Accent4" xfId="43" builtinId="42" hidden="1"/>
    <cellStyle name="20% - Accent5" xfId="47" builtinId="46" hidden="1"/>
    <cellStyle name="20% - Accent6" xfId="51" builtinId="50" hidden="1"/>
    <cellStyle name="40% - Accent1" xfId="32" builtinId="31" hidden="1"/>
    <cellStyle name="40% - Accent2" xfId="36" builtinId="35" hidden="1"/>
    <cellStyle name="40% - Accent3" xfId="40" builtinId="39" hidden="1"/>
    <cellStyle name="40% - Accent4" xfId="44" builtinId="43" hidden="1"/>
    <cellStyle name="40% - Accent5" xfId="48" builtinId="47" hidden="1"/>
    <cellStyle name="40% - Accent6" xfId="52" builtinId="51" hidden="1"/>
    <cellStyle name="60% - Accent1" xfId="33" builtinId="32" hidden="1"/>
    <cellStyle name="60% - Accent2" xfId="37" builtinId="36" hidden="1"/>
    <cellStyle name="60% - Accent3" xfId="41" builtinId="40" hidden="1"/>
    <cellStyle name="60% - Accent4" xfId="45" builtinId="44" hidden="1"/>
    <cellStyle name="60% - Accent5" xfId="49" builtinId="48" hidden="1"/>
    <cellStyle name="60% - Accent6" xfId="53" builtinId="52" hidden="1"/>
    <cellStyle name="Accent1" xfId="30" builtinId="29" hidden="1"/>
    <cellStyle name="Accent2" xfId="34" builtinId="33" hidden="1"/>
    <cellStyle name="Accent3" xfId="38" builtinId="37" hidden="1"/>
    <cellStyle name="Accent4" xfId="42" builtinId="41" hidden="1"/>
    <cellStyle name="Accent5" xfId="46" builtinId="45" hidden="1"/>
    <cellStyle name="Accent6" xfId="50" builtinId="49" hidden="1"/>
    <cellStyle name="ActBox" xfId="88" xr:uid="{38E49CEB-75CD-4F74-8D71-AB6C77880CD6}"/>
    <cellStyle name="ActDeac" xfId="64" xr:uid="{641E8451-EDA0-4152-88AD-68ED5078E5CB}"/>
    <cellStyle name="ActError" xfId="65" xr:uid="{A55466A5-83D1-4F42-98B8-6C00FC8174CE}"/>
    <cellStyle name="ActFind" xfId="66" xr:uid="{D562F1AB-9C35-4028-81BD-AA758FBB7997}"/>
    <cellStyle name="ActGood" xfId="57" xr:uid="{D5500846-3D86-40D6-83BB-18E39AB5993C}"/>
    <cellStyle name="ActMiss" xfId="95" xr:uid="{91F7CAB3-8C47-4334-BFA8-7B65C4570AED}"/>
    <cellStyle name="ActNote" xfId="67" xr:uid="{35E91A08-EFF4-439F-933D-9672A677D795}"/>
    <cellStyle name="Bad" xfId="19" builtinId="27" hidden="1"/>
    <cellStyle name="BoxCell" xfId="56" xr:uid="{D43808C8-F038-4490-8CE9-0480AA97F3F5}"/>
    <cellStyle name="BoxHdKey" xfId="97" xr:uid="{E566D97F-BBB1-41C3-BE64-F5656D57DFFD}"/>
    <cellStyle name="BoxHead" xfId="1" xr:uid="{8F79BBCC-ABBB-4F60-8241-82066CA74206}"/>
    <cellStyle name="BoxKey" xfId="98" xr:uid="{3EFAB658-1EE9-4C2E-919F-B057129A568C}"/>
    <cellStyle name="BoxTitle" xfId="84" xr:uid="{C03B03E9-55E8-481E-8D48-0E35A958BF9B}"/>
    <cellStyle name="BoxVal" xfId="54" xr:uid="{CEE0F8CE-401B-46BF-9E3E-F189865932A5}"/>
    <cellStyle name="CalcCell" xfId="87" xr:uid="{EFFEE539-064F-4810-BE32-970BE9BAFD58}"/>
    <cellStyle name="CalcHd" xfId="59" xr:uid="{A485577F-49FD-400C-A80A-0E3CFDBD45B7}"/>
    <cellStyle name="CalcHdKey" xfId="85" xr:uid="{70C0DF97-5E8E-41E4-83A5-AF7351DB6178}"/>
    <cellStyle name="CalcKey" xfId="86" xr:uid="{33333FEE-0A58-46CC-9044-75486600F7F2}"/>
    <cellStyle name="Calculation" xfId="23" builtinId="22" hidden="1"/>
    <cellStyle name="CalcVal" xfId="60" xr:uid="{05A05623-4D0E-414D-9E79-D61CAA3757A2}"/>
    <cellStyle name="Check Cell" xfId="25" builtinId="23" hidden="1"/>
    <cellStyle name="Comma" xfId="8" builtinId="3" hidden="1"/>
    <cellStyle name="Comma [0]" xfId="9" builtinId="6" hidden="1"/>
    <cellStyle name="Currency" xfId="10" builtinId="4" hidden="1"/>
    <cellStyle name="Currency [0]" xfId="11" builtinId="7" hidden="1"/>
    <cellStyle name="DeacCell" xfId="63" xr:uid="{EE8C3931-509A-454B-8DDB-3DB165F936E4}"/>
    <cellStyle name="DeacHd" xfId="62" xr:uid="{D1DB8CD8-A38C-4B76-8336-C72AB6F573DE}"/>
    <cellStyle name="DeacHdKey" xfId="61" xr:uid="{462BEE3B-4DB6-41CA-872F-592CB2DC83A2}"/>
    <cellStyle name="ErrCell" xfId="4" xr:uid="{680DCF67-CA92-4F4B-8884-393929A5F5CF}"/>
    <cellStyle name="ErrHd" xfId="68" xr:uid="{23887379-1C10-4A57-A891-5F3813EA025B}"/>
    <cellStyle name="ErrHdKey" xfId="96" xr:uid="{467E3358-4DE6-4DE4-8297-47E9B3EF7100}"/>
    <cellStyle name="ErrKey" xfId="5" xr:uid="{0D09F370-4EC7-4970-B810-A1B2EE32E259}"/>
    <cellStyle name="ErrVal" xfId="69" xr:uid="{8D32772B-D1F6-4270-83F5-C72E77605A83}"/>
    <cellStyle name="Explanatory Text" xfId="28" builtinId="53" hidden="1"/>
    <cellStyle name="Followed Hyperlink" xfId="55" builtinId="9" customBuiltin="1"/>
    <cellStyle name="Good" xfId="18" builtinId="26" hidden="1"/>
    <cellStyle name="Heading 1" xfId="14" builtinId="16" hidden="1"/>
    <cellStyle name="Heading 2" xfId="15" builtinId="17" hidden="1"/>
    <cellStyle name="Heading 3" xfId="16" builtinId="18" hidden="1"/>
    <cellStyle name="Heading 4" xfId="17" builtinId="19" hidden="1"/>
    <cellStyle name="Hyperlink" xfId="7" builtinId="8" customBuiltin="1"/>
    <cellStyle name="InpCell" xfId="94" xr:uid="{AADAF2D6-2D9F-4466-9464-9A6E1EC0D41A}"/>
    <cellStyle name="InpDate" xfId="91" xr:uid="{57D9F190-E93C-48AC-8DBC-75822B908EE1}"/>
    <cellStyle name="InpHd" xfId="90" xr:uid="{5D707093-26DD-4259-B011-F735F8ED10E8}"/>
    <cellStyle name="InpHdKey" xfId="89" xr:uid="{B609ACCC-4243-4161-9053-5E2F03AB0C08}"/>
    <cellStyle name="InpKey" xfId="93" xr:uid="{6C431146-0EA7-44B6-9003-1F42CEA29774}"/>
    <cellStyle name="Input" xfId="21" builtinId="20" hidden="1"/>
    <cellStyle name="InpVal" xfId="92" xr:uid="{6E3A50D8-F39E-4707-85CC-97DEDA10F66A}"/>
    <cellStyle name="IntCell" xfId="83" xr:uid="{B8FC2939-D6D2-4927-B732-3CC7ED608316}"/>
    <cellStyle name="IntHd" xfId="80" xr:uid="{D39DE552-A597-4800-BE5C-48D9A8390B5A}"/>
    <cellStyle name="IntHdKey" xfId="79" xr:uid="{050A2708-B11F-478A-AC39-C14E6B52CC99}"/>
    <cellStyle name="IntKey" xfId="82" xr:uid="{A7D192B5-F756-4622-A3C2-798FAA48B166}"/>
    <cellStyle name="IntVal" xfId="81" xr:uid="{D7E5F61F-E3EE-4630-974F-E557328A7735}"/>
    <cellStyle name="Linked Cell" xfId="24" builtinId="24" hidden="1"/>
    <cellStyle name="LkpCell" xfId="73" xr:uid="{034B211C-FDE8-4A03-BAF4-D9C3E831F167}"/>
    <cellStyle name="LkpDate" xfId="70" xr:uid="{40E78F5C-24AB-47E8-83CF-64F4588F153B}"/>
    <cellStyle name="LkpHd" xfId="77" xr:uid="{A8EAE62D-4BB5-4C9C-B9FA-BE61C3AEE3E6}"/>
    <cellStyle name="LkpHdKey" xfId="78" xr:uid="{0DF1FC8C-341F-45FF-87B8-8B75702B17F7}"/>
    <cellStyle name="LkpKey" xfId="72" xr:uid="{2BCE6C2C-BA3A-426F-848C-40590D149CBC}"/>
    <cellStyle name="LkpVal" xfId="71" xr:uid="{FFC100B2-B15A-444B-AAB6-ACEE9EDBF274}"/>
    <cellStyle name="Neutral" xfId="20" builtinId="28" hidden="1"/>
    <cellStyle name="Normal" xfId="0" builtinId="0" customBuiltin="1"/>
    <cellStyle name="Note" xfId="27" builtinId="10" hidden="1"/>
    <cellStyle name="Output" xfId="22" builtinId="21" hidden="1"/>
    <cellStyle name="Percent" xfId="12" builtinId="5" hidden="1"/>
    <cellStyle name="QueCell" xfId="2" xr:uid="{00FA0E66-DDDB-4D59-906A-319C50F3696D}"/>
    <cellStyle name="QueHd" xfId="75" xr:uid="{ECEFA2E3-BF01-4080-9383-75E9B41E90CC}"/>
    <cellStyle name="QueHdKey" xfId="74" xr:uid="{403C17D7-8DB7-4FA2-AC90-FF2D295A3724}"/>
    <cellStyle name="QueKey" xfId="3" xr:uid="{DC1E60CB-A59F-4C02-BFF9-B0EB3CD2AAE5}"/>
    <cellStyle name="QueVal" xfId="76" xr:uid="{AD5D37FC-7491-4EF2-B723-96C7E5EBD16C}"/>
    <cellStyle name="Title" xfId="13" builtinId="15" hidden="1"/>
    <cellStyle name="Total" xfId="29" builtinId="25" hidden="1"/>
    <cellStyle name="Warning Text" xfId="26" builtinId="11" hidden="1"/>
    <cellStyle name="xCond" xfId="6" xr:uid="{1EBEEB1F-2D52-4967-A6BA-433C81E5818A}"/>
    <cellStyle name="xMono" xfId="58" xr:uid="{9E5F097F-D5C9-4CB8-BD12-CC4B6DCF8D5B}"/>
  </cellStyles>
  <dxfs count="12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major"/>
      </font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9" defaultTableStyle="QueryTable" defaultPivotStyle="PivotStyleLight16">
    <tableStyle name="BoxTable" pivot="0" count="7" xr9:uid="{43492D81-139C-4801-B77F-EB1AE67A0441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HeaderCell" dxfId="115"/>
      <tableStyleElement type="firstTotalCell" dxfId="114"/>
    </tableStyle>
    <tableStyle name="CalcSlicer" pivot="0" table="0" count="10" xr9:uid="{9002A90B-8162-4C0D-AC0E-75A79C394F31}">
      <tableStyleElement type="wholeTable" dxfId="113"/>
      <tableStyleElement type="headerRow" dxfId="112"/>
    </tableStyle>
    <tableStyle name="CalculatedTable" pivot="0" count="7" xr9:uid="{B707AD34-854C-4EAD-B8F0-39FD832828C2}">
      <tableStyleElement type="wholeTable" dxfId="111"/>
      <tableStyleElement type="headerRow" dxfId="110"/>
      <tableStyleElement type="totalRow" dxfId="109"/>
      <tableStyleElement type="firstColumn" dxfId="108"/>
      <tableStyleElement type="lastColumn" dxfId="107"/>
      <tableStyleElement type="firstHeaderCell" dxfId="106"/>
      <tableStyleElement type="firstTotalCell" dxfId="105"/>
    </tableStyle>
    <tableStyle name="ErrorTable" pivot="0" count="7" xr9:uid="{0956171F-7139-4688-8494-BDB3EF850764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HeaderCell" dxfId="99"/>
      <tableStyleElement type="firstTotalCell" dxfId="98"/>
    </tableStyle>
    <tableStyle name="InputTable" pivot="0" count="7" xr9:uid="{8C29E1F9-8B47-42E8-8195-90D6A86E002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HeaderCell" dxfId="92"/>
      <tableStyleElement type="firstTotalCell" dxfId="91"/>
    </tableStyle>
    <tableStyle name="InternalTable" pivot="0" count="7" xr9:uid="{6569D68B-D61A-4EB6-98F4-826733CFF175}">
      <tableStyleElement type="wholeTable" dxfId="90"/>
      <tableStyleElement type="headerRow" dxfId="89"/>
      <tableStyleElement type="totalRow" dxfId="88"/>
      <tableStyleElement type="firstColumn" dxfId="87"/>
      <tableStyleElement type="lastColumn" dxfId="86"/>
      <tableStyleElement type="firstHeaderCell" dxfId="85"/>
      <tableStyleElement type="firstTotalCell" dxfId="84"/>
    </tableStyle>
    <tableStyle name="Invisible" pivot="0" table="0" count="0" xr9:uid="{3D367CA6-57D5-4BB4-9B5F-B5ACC42505FF}"/>
    <tableStyle name="LookupTable" pivot="0" count="7" xr9:uid="{36743DE1-D665-4C00-AC30-E26EBCC4EB5F}">
      <tableStyleElement type="wholeTable" dxfId="83"/>
      <tableStyleElement type="headerRow" dxfId="82"/>
      <tableStyleElement type="totalRow" dxfId="81"/>
      <tableStyleElement type="firstColumn" dxfId="80"/>
      <tableStyleElement type="lastColumn" dxfId="79"/>
      <tableStyleElement type="firstHeaderCell" dxfId="78"/>
      <tableStyleElement type="firstTotalCell" dxfId="77"/>
    </tableStyle>
    <tableStyle name="QueryTable" pivot="0" count="9" xr9:uid="{92DC973F-2E49-44AB-8564-A6325BEF3F08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firstHeaderCell" dxfId="71"/>
      <tableStyleElement type="lastHeaderCell" dxfId="70"/>
      <tableStyleElement type="firstTotalCell" dxfId="69"/>
      <tableStyleElement type="lastTotalCell" dxfId="68"/>
    </tableStyle>
  </tableStyles>
  <colors>
    <mruColors>
      <color rgb="FF9FF9F7"/>
      <color rgb="FF00CCFF"/>
      <color rgb="FF3366FF"/>
      <color rgb="FF279AF9"/>
      <color rgb="FFFF5050"/>
      <color rgb="FF954F72"/>
      <color rgb="FFFFFFFF"/>
      <color rgb="FFFFC441"/>
      <color rgb="FFE8B100"/>
      <color rgb="FFE8900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152400</xdr:rowOff>
        </xdr:from>
        <xdr:to>
          <xdr:col>15</xdr:col>
          <xdr:colOff>0</xdr:colOff>
          <xdr:row>2</xdr:row>
          <xdr:rowOff>83820</xdr:rowOff>
        </xdr:to>
        <xdr:sp macro="" textlink="">
          <xdr:nvSpPr>
            <xdr:cNvPr id="1026" name="Style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P50" headerRowDxfId="61" tableBorderDxfId="60">
  <autoFilter ref="A2:P50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D510F896-ED24-48B1-853C-CE27DC687EBA}" name="Cell Name" totalsRowLabel="Total" dataDxfId="59"/>
    <tableColumn id="10" xr3:uid="{5E8012AC-447F-444E-AD4B-09AE17414B90}" name="StyleName" dataDxfId="58"/>
    <tableColumn id="2" xr3:uid="{0182BED1-E3D2-4DEB-953E-8E38866A31B4}" name="Where Used" totalsRowDxfId="57"/>
    <tableColumn id="3" xr3:uid="{082CA2D3-D449-4334-ABBC-3004106AE17C}" name="Typing Notes" totalsRowDxfId="56"/>
    <tableColumn id="4" xr3:uid="{92100948-EB97-4C9C-AE01-5AAF25B33FF0}" name="Warnings" totalsRowDxfId="55"/>
    <tableColumn id="8" xr3:uid="{FE911691-39D8-4FCA-87BD-860F1AF985E7}" name="Fmt Notes" totalsRowFunction="count" totalsRowDxfId="54"/>
    <tableColumn id="9" xr3:uid="{CE3315A9-50D7-48B0-AF31-C9CD9A22FA82}" name="Font" dataDxfId="53" totalsRowDxfId="52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F33D9058-7652-46A9-83FF-937FD98075EC}" name="Fnt" dataDxfId="51" totalsRowDxfId="50"/>
    <tableColumn id="11" xr3:uid="{9CA039C6-4B5F-4214-A28C-63D46BAC99BE}" name="Base" dataDxfId="49" totalsRowDxfId="48"/>
    <tableColumn id="16" xr3:uid="{6707B4D9-6631-47D1-B28B-69A37B3F44BE}" name="Pat" dataDxfId="47" totalsRowDxfId="46"/>
    <tableColumn id="13" xr3:uid="{5502A64C-41E1-4A03-8960-487CE7B389C6}" name="BOv" dataDxfId="45" totalsRowDxfId="44"/>
    <tableColumn id="14" xr3:uid="{DD9EE4E1-D475-42D7-8942-8F30D8728ABB}" name="FOv" dataDxfId="43" totalsRowDxfId="42"/>
    <tableColumn id="15" xr3:uid="{9F5A6713-4C09-414A-938D-596EE33E7791}" name="POv" dataDxfId="41" totalsRowDxfId="40"/>
    <tableColumn id="5" xr3:uid="{1A92A71A-B8D8-4E67-AA62-A7FBCC1FE379}" name="BgClr" dataDxfId="39" totalsRowDxfId="38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EFD2E2AD-E61D-4C56-840F-FE3C98D90394}" name="TxClr" dataDxfId="37" totalsRowDxfId="36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C684879A-C650-41BE-98B2-794B0C7F0BDB}" name="PtClr" dataDxfId="35" totalsRowDxfId="34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LookupSampleTable" displayName="LookupSampleTable" ref="B59:D62" totalsRowCount="1">
  <autoFilter ref="B59:D61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LookupKey1" totalsRowLabel="Total:"/>
    <tableColumn id="2" xr3:uid="{DCE6931E-FD68-454D-B8F5-598B8C5204E0}" name="LookupColumn2"/>
    <tableColumn id="3" xr3:uid="{25890384-CE26-44FC-950D-70BA221CC229}" name="CalcColumn" totalsRowFunction="custom" dataCellStyle="CalcCell" totalsRowCellStyle="CalcHd">
      <calculatedColumnFormula>RIGHT(LookupSampleTable[[#This Row],[LookupColumn2]],5)</calculatedColumnFormula>
      <totalsRowFormula>COUNTIF(LookupSampleTable[CalcColumn], "Value") &amp; " Value in Column"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65:D68" totalsRowCount="1">
  <autoFilter ref="B65:D67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 dataDxfId="33">
      <totalsRowFormula>COUNTIF(IntSampleTable[Internal2],"")    &amp;     " Blank Cells"</totalsRowFormula>
    </tableColumn>
    <tableColumn id="3" xr3:uid="{7DB48570-446A-440E-A32C-08BEF00880AA}" name="CalcColumn3" totalsRowFunction="custom" dataDxfId="32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71:D74" totalsRowCount="1">
  <autoFilter ref="B71:D73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R2:U21">
  <autoFilter ref="R2:U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31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W2:W3" totalsRowShown="0" headerRowDxfId="30" dataDxfId="29" tableBorderDxfId="28">
  <autoFilter ref="W2:W3" xr:uid="{93D29540-6F26-47B2-9535-0150D72DF45E}">
    <filterColumn colId="0" hiddenButton="1"/>
  </autoFilter>
  <tableColumns count="1">
    <tableColumn id="1" xr3:uid="{48385E94-6978-4DD0-A513-9A4C9FD1FE48}" name="UseCol3" dataDxfId="27"/>
  </tableColumns>
  <tableStyleInfo name="Input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83EBDF-932D-4F29-AC6D-8ADA2B3F4CD6}" name="Table12" displayName="Table12" ref="B77:D80">
  <autoFilter ref="B77:D80" xr:uid="{8BBB82F9-3308-412E-95A5-36CEB141711D}">
    <filterColumn colId="0" hiddenButton="1"/>
    <filterColumn colId="1" hiddenButton="1"/>
    <filterColumn colId="2" hiddenButton="1"/>
  </autoFilter>
  <tableColumns count="3">
    <tableColumn id="1" xr3:uid="{B8F0DD3F-BCFC-434F-AF55-8982622884B2}" name="Column1" totalsRowLabel="Total"/>
    <tableColumn id="2" xr3:uid="{E0458864-F746-4927-A627-8203C8BA6415}" name="Column2"/>
    <tableColumn id="3" xr3:uid="{FA8C1664-B205-479C-A68D-4A19A75DC79F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2:A4" totalsRowShown="0" headerRowDxfId="26" dataDxfId="25" tableBorderDxfId="24">
  <autoFilter ref="A2:A4" xr:uid="{C449DE06-2E9F-4A19-BFB1-7D18A499D65F}">
    <filterColumn colId="0" hiddenButton="1"/>
  </autoFilter>
  <tableColumns count="1">
    <tableColumn id="1" xr3:uid="{1016B090-ECD0-454A-9893-3BB93473AC65}" name="Bool" dataDxfId="23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D3:E4" totalsRowShown="0" headerRowDxfId="22" dataDxfId="21" tableBorderDxfId="20" headerRowCellStyle="LkpHdKey" dataCellStyle="LkpKey">
  <autoFilter ref="D3:E4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19" dataCellStyle="LkpKey">
      <calculatedColumnFormula array="1">OFFSET( BoolName, 0, 0, 1, 1)</calculatedColumnFormula>
    </tableColumn>
    <tableColumn id="3" xr3:uid="{D9396BD0-7182-4272-B658-16AB566D3C90}" name="N" dataDxfId="18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6:A7" totalsRowShown="0" headerRowDxfId="17" dataDxfId="16">
  <autoFilter ref="A6:A7" xr:uid="{3A5E5831-125B-4C13-A27A-6EB2E9241CC5}">
    <filterColumn colId="0" hiddenButton="1"/>
  </autoFilter>
  <tableColumns count="1">
    <tableColumn id="1" xr3:uid="{CBA32D49-7780-4606-BA15-F538B9B77B45}" name="LNF" dataDxfId="15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D7D26-B446-4460-BDAC-F9D2BD81C2B7}" name="YNTable" displayName="YNTable" ref="B2:B4" totalsRowShown="0" headerRowDxfId="14" dataDxfId="13">
  <autoFilter ref="B2:B4" xr:uid="{8C5ADB56-ADD8-4BCB-967D-E77AD4FBB3D7}">
    <filterColumn colId="0" hiddenButton="1"/>
  </autoFilter>
  <tableColumns count="1">
    <tableColumn id="1" xr3:uid="{DC165A05-C4EC-4C8D-907A-BBFD26103CCD}" name="YN" dataDxfId="12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777F89-EEB6-45FC-B9FB-0EF36DD177F3}" name="YNValueTable" displayName="YNValueTable" ref="F3:G4" totalsRowShown="0" headerRowDxfId="11" dataDxfId="10" tableBorderDxfId="9" headerRowCellStyle="LkpHdKey" dataCellStyle="LkpKey">
  <autoFilter ref="F3:G4" xr:uid="{1612CA1B-C680-41AF-8587-9838D2A087AA}">
    <filterColumn colId="0" hiddenButton="1"/>
    <filterColumn colId="1" hiddenButton="1"/>
  </autoFilter>
  <tableColumns count="2">
    <tableColumn id="1" xr3:uid="{CB98C016-2266-4B22-AF67-3C578A917F08}" name="Y" dataDxfId="8" dataCellStyle="LkpKey">
      <calculatedColumnFormula>OFFSET( YNTable[], 0, 0, 1, 1)</calculatedColumnFormula>
    </tableColumn>
    <tableColumn id="2" xr3:uid="{419B8AAC-BC14-4AD0-B34F-B6336CBE67A5}" name="N" dataDxfId="7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3C8D79B-6A08-4E6A-AEE4-BD4E0B0A5302}" name="SizeOverrideTable" displayName="SizeOverrideTable" ref="I2:M3" totalsRowShown="0" dataDxfId="6" tableBorderDxfId="5">
  <autoFilter ref="I2:M3" xr:uid="{33C8D79B-6A08-4E6A-AEE4-BD4E0B0A530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F22D8A2-3AB0-465F-97EF-CC25D4CB34E3}" name="Cell Title" dataDxfId="4"/>
    <tableColumn id="2" xr3:uid="{B119FC4F-F3AA-420A-8A33-42E7E7370F46}" name="Headers" dataDxfId="3"/>
    <tableColumn id="3" xr3:uid="{6BD37F6F-6315-42E9-AD17-8BE786F37658}" name="Cells" dataDxfId="2"/>
    <tableColumn id="4" xr3:uid="{BA430F53-9AC7-4CAB-A035-378178C51380}" name="Sets Font" dataDxfId="1"/>
    <tableColumn id="5" xr3:uid="{A3F34A5E-8E47-465B-8D38-2E75685E0409}" name="Sets Fmt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StyledWorkbook">
  <a:themeElements>
    <a:clrScheme name="New Style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image" Target="../media/image1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AB77"/>
  <sheetViews>
    <sheetView zoomScaleNormal="100" workbookViewId="0">
      <selection activeCell="C8" sqref="C8"/>
    </sheetView>
  </sheetViews>
  <sheetFormatPr defaultRowHeight="13.8" x14ac:dyDescent="0.25"/>
  <cols>
    <col min="1" max="1" width="22" bestFit="1" customWidth="1"/>
    <col min="2" max="2" width="13.796875" bestFit="1" customWidth="1"/>
    <col min="3" max="3" width="27.296875" customWidth="1"/>
    <col min="4" max="4" width="20.796875" customWidth="1"/>
    <col min="5" max="5" width="37.296875" style="2" customWidth="1"/>
    <col min="6" max="6" width="23.296875" customWidth="1"/>
    <col min="7" max="7" width="10.796875" bestFit="1" customWidth="1"/>
    <col min="8" max="8" width="2.796875" style="3" bestFit="1" customWidth="1"/>
    <col min="9" max="9" width="3.69921875" style="4" bestFit="1" customWidth="1"/>
    <col min="10" max="10" width="3.69921875" style="4" customWidth="1"/>
    <col min="11" max="11" width="3.8984375" style="4" bestFit="1" customWidth="1"/>
    <col min="12" max="13" width="3.8984375" style="4" customWidth="1"/>
    <col min="14" max="16" width="7.59765625" bestFit="1" customWidth="1"/>
    <col min="17" max="18" width="8" bestFit="1" customWidth="1"/>
    <col min="19" max="19" width="9.296875" bestFit="1" customWidth="1"/>
    <col min="20" max="20" width="8.296875" bestFit="1" customWidth="1"/>
    <col min="21" max="21" width="6.3984375" bestFit="1" customWidth="1"/>
    <col min="22" max="22" width="0.796875" customWidth="1"/>
    <col min="26" max="26" width="6.296875" bestFit="1" customWidth="1"/>
    <col min="27" max="27" width="8.3984375" bestFit="1" customWidth="1"/>
    <col min="28" max="28" width="9.796875" customWidth="1"/>
  </cols>
  <sheetData>
    <row r="1" spans="1:23" ht="20.399999999999999" x14ac:dyDescent="0.2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R1" s="125" t="s">
        <v>43</v>
      </c>
      <c r="S1" s="125"/>
      <c r="T1" s="125"/>
      <c r="U1" s="125"/>
      <c r="W1" s="121" t="s">
        <v>226</v>
      </c>
    </row>
    <row r="2" spans="1:23" x14ac:dyDescent="0.25">
      <c r="A2" s="6" t="s">
        <v>1</v>
      </c>
      <c r="B2" s="57" t="s">
        <v>117</v>
      </c>
      <c r="C2" t="s">
        <v>2</v>
      </c>
      <c r="D2" t="s">
        <v>3</v>
      </c>
      <c r="E2" t="s">
        <v>4</v>
      </c>
      <c r="F2" t="s">
        <v>51</v>
      </c>
      <c r="G2" s="94" t="s">
        <v>79</v>
      </c>
      <c r="H2" s="105" t="s">
        <v>167</v>
      </c>
      <c r="I2" s="106" t="s">
        <v>158</v>
      </c>
      <c r="J2" s="106" t="s">
        <v>201</v>
      </c>
      <c r="K2" s="107" t="s">
        <v>191</v>
      </c>
      <c r="L2" s="106" t="s">
        <v>198</v>
      </c>
      <c r="M2" s="108" t="s">
        <v>200</v>
      </c>
      <c r="N2" s="96" t="s">
        <v>220</v>
      </c>
      <c r="O2" s="87" t="s">
        <v>219</v>
      </c>
      <c r="P2" s="87" t="s">
        <v>221</v>
      </c>
      <c r="R2" t="s">
        <v>39</v>
      </c>
      <c r="S2" t="s">
        <v>41</v>
      </c>
      <c r="T2" t="s">
        <v>42</v>
      </c>
      <c r="U2" t="s">
        <v>44</v>
      </c>
      <c r="W2" s="4" t="s">
        <v>50</v>
      </c>
    </row>
    <row r="3" spans="1:23" x14ac:dyDescent="0.25">
      <c r="A3" s="60" t="s">
        <v>112</v>
      </c>
      <c r="B3" s="60" t="s">
        <v>118</v>
      </c>
      <c r="C3" s="3" t="s">
        <v>5</v>
      </c>
      <c r="D3" s="3" t="s">
        <v>6</v>
      </c>
      <c r="E3" s="3" t="s">
        <v>113</v>
      </c>
      <c r="F3" s="3" t="s">
        <v>202</v>
      </c>
      <c r="G3" s="41" t="str">
        <f xml:space="preserve"> IF( OR(RIGHT(KeyTable[[#This Row],[StyleName]], 4) = "Date", RIGHT(KeyTable[[#This Row],[StyleName]], 3) = "Val"), "OCRB", "Bahnschrift")</f>
        <v>Bahnschrift</v>
      </c>
      <c r="H3" s="90" t="s">
        <v>101</v>
      </c>
      <c r="I3" s="4" t="s">
        <v>97</v>
      </c>
      <c r="K3" s="90"/>
      <c r="L3" s="98"/>
      <c r="M3" s="102"/>
      <c r="N3" s="97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84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85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45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4" t="b">
        <v>0</v>
      </c>
    </row>
    <row r="4" spans="1:23" x14ac:dyDescent="0.25">
      <c r="A4" s="42" t="s">
        <v>85</v>
      </c>
      <c r="B4" s="42" t="s">
        <v>119</v>
      </c>
      <c r="C4" t="s">
        <v>5</v>
      </c>
      <c r="D4" t="s">
        <v>6</v>
      </c>
      <c r="E4" t="s">
        <v>113</v>
      </c>
      <c r="F4" s="3" t="s">
        <v>202</v>
      </c>
      <c r="G4" s="41" t="str">
        <f xml:space="preserve"> IF( OR(RIGHT(KeyTable[[#This Row],[StyleName]], 4) = "Date", RIGHT(KeyTable[[#This Row],[StyleName]], 3) = "Val"), "OCRB", "Bahnschrift")</f>
        <v>Bahnschrift</v>
      </c>
      <c r="H4" s="90" t="s">
        <v>101</v>
      </c>
      <c r="I4" s="4" t="s">
        <v>96</v>
      </c>
      <c r="K4" s="90" t="s">
        <v>192</v>
      </c>
      <c r="L4" s="98"/>
      <c r="M4" s="102"/>
      <c r="N4" s="97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84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86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46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5">
      <c r="A5" s="44" t="s">
        <v>161</v>
      </c>
      <c r="B5" s="44" t="s">
        <v>160</v>
      </c>
      <c r="C5" s="3" t="s">
        <v>8</v>
      </c>
      <c r="D5" s="3" t="s">
        <v>6</v>
      </c>
      <c r="E5" s="3" t="s">
        <v>9</v>
      </c>
      <c r="F5" s="3"/>
      <c r="G5" s="41" t="str">
        <f xml:space="preserve"> IF( OR(RIGHT(KeyTable[[#This Row],[StyleName]], 4) = "Date", RIGHT(KeyTable[[#This Row],[StyleName]], 3) = "Val"), "OCRB", "Bahnschrift")</f>
        <v>Bahnschrift</v>
      </c>
      <c r="H5" s="90" t="s">
        <v>97</v>
      </c>
      <c r="I5" s="4" t="s">
        <v>162</v>
      </c>
      <c r="K5" s="90" t="s">
        <v>193</v>
      </c>
      <c r="L5" s="98"/>
      <c r="M5" s="102"/>
      <c r="N5" s="97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84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86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5">
      <c r="A6" s="43" t="s">
        <v>111</v>
      </c>
      <c r="B6" s="86" t="s">
        <v>120</v>
      </c>
      <c r="C6" s="3" t="s">
        <v>8</v>
      </c>
      <c r="D6" s="3" t="s">
        <v>6</v>
      </c>
      <c r="E6" s="3" t="s">
        <v>9</v>
      </c>
      <c r="F6" s="3"/>
      <c r="G6" s="41" t="str">
        <f xml:space="preserve"> IF( OR(RIGHT(KeyTable[[#This Row],[StyleName]], 4) = "Date", RIGHT(KeyTable[[#This Row],[StyleName]], 3) = "Val"), "OCRB", "Bahnschrift")</f>
        <v>OCRB</v>
      </c>
      <c r="H6" s="90" t="s">
        <v>97</v>
      </c>
      <c r="I6" s="4" t="s">
        <v>162</v>
      </c>
      <c r="K6" s="90" t="s">
        <v>194</v>
      </c>
      <c r="L6" s="98"/>
      <c r="M6" s="102"/>
      <c r="N6" s="97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84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86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47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4.4" thickBot="1" x14ac:dyDescent="0.3">
      <c r="A7" s="45" t="s">
        <v>7</v>
      </c>
      <c r="B7" s="46" t="s">
        <v>121</v>
      </c>
      <c r="C7" s="33" t="s">
        <v>8</v>
      </c>
      <c r="D7" s="33" t="s">
        <v>6</v>
      </c>
      <c r="E7" s="33" t="s">
        <v>9</v>
      </c>
      <c r="F7" s="33"/>
      <c r="G7" s="116" t="str">
        <f xml:space="preserve"> IF( OR(RIGHT(KeyTable[[#This Row],[StyleName]], 4) = "Date", RIGHT(KeyTable[[#This Row],[StyleName]], 3) = "Val"), "OCRB", "Bahnschrift")</f>
        <v>Bahnschrift</v>
      </c>
      <c r="H7" s="91" t="s">
        <v>97</v>
      </c>
      <c r="I7" s="37" t="s">
        <v>162</v>
      </c>
      <c r="J7" s="37"/>
      <c r="K7" s="91" t="s">
        <v>195</v>
      </c>
      <c r="L7" s="37"/>
      <c r="M7" s="103"/>
      <c r="N7" s="117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114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115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5">
      <c r="A8" s="59" t="s">
        <v>98</v>
      </c>
      <c r="B8" s="59" t="s">
        <v>222</v>
      </c>
      <c r="C8" s="3" t="s">
        <v>5</v>
      </c>
      <c r="D8" t="s">
        <v>6</v>
      </c>
      <c r="E8" t="s">
        <v>49</v>
      </c>
      <c r="F8" t="s">
        <v>203</v>
      </c>
      <c r="G8" s="109" t="str">
        <f xml:space="preserve"> IF( OR(RIGHT(KeyTable[[#This Row],[StyleName]], 4) = "Date", RIGHT(KeyTable[[#This Row],[StyleName]], 3) = "Val"), "OCRB", "Bahnschrift")</f>
        <v>Bahnschrift</v>
      </c>
      <c r="H8" s="90" t="s">
        <v>101</v>
      </c>
      <c r="I8" s="4" t="s">
        <v>97</v>
      </c>
      <c r="J8" s="4" t="s">
        <v>97</v>
      </c>
      <c r="K8" s="99"/>
      <c r="L8" s="100" t="s">
        <v>193</v>
      </c>
      <c r="M8" s="101" t="s">
        <v>36</v>
      </c>
      <c r="N8" s="110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111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112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5">
      <c r="A9" s="31" t="s">
        <v>48</v>
      </c>
      <c r="B9" s="31" t="s">
        <v>156</v>
      </c>
      <c r="C9" s="3" t="s">
        <v>5</v>
      </c>
      <c r="D9" s="3" t="s">
        <v>6</v>
      </c>
      <c r="E9" s="3" t="s">
        <v>49</v>
      </c>
      <c r="F9" s="3" t="s">
        <v>202</v>
      </c>
      <c r="G9" s="41" t="str">
        <f xml:space="preserve"> IF( OR(RIGHT(KeyTable[[#This Row],[StyleName]], 4) = "Date", RIGHT(KeyTable[[#This Row],[StyleName]], 3) = "Val"), "OCRB", "Bahnschrift")</f>
        <v>Bahnschrift</v>
      </c>
      <c r="H9" s="90" t="s">
        <v>96</v>
      </c>
      <c r="I9" s="4" t="s">
        <v>96</v>
      </c>
      <c r="K9" s="90"/>
      <c r="L9" s="98" t="s">
        <v>199</v>
      </c>
      <c r="M9" s="102"/>
      <c r="N9" s="97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84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84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5">
      <c r="A10" s="32" t="s">
        <v>99</v>
      </c>
      <c r="B10" s="32" t="s">
        <v>157</v>
      </c>
      <c r="C10" t="s">
        <v>20</v>
      </c>
      <c r="D10" t="s">
        <v>6</v>
      </c>
      <c r="E10" t="s">
        <v>21</v>
      </c>
      <c r="F10" s="2"/>
      <c r="G10" s="41" t="str">
        <f xml:space="preserve"> IF( OR(RIGHT(KeyTable[[#This Row],[StyleName]], 4) = "Date", RIGHT(KeyTable[[#This Row],[StyleName]], 3) = "Val"), "OCRB", "Bahnschrift")</f>
        <v>Bahnschrift</v>
      </c>
      <c r="H10" s="90" t="s">
        <v>101</v>
      </c>
      <c r="I10" s="4" t="s">
        <v>101</v>
      </c>
      <c r="K10" s="90" t="s">
        <v>36</v>
      </c>
      <c r="L10" s="98" t="s">
        <v>193</v>
      </c>
      <c r="M10" s="102"/>
      <c r="N10" s="97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84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84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4.4" thickBot="1" x14ac:dyDescent="0.3">
      <c r="A11" s="64" t="s">
        <v>100</v>
      </c>
      <c r="B11" s="64" t="s">
        <v>152</v>
      </c>
      <c r="C11" s="33" t="s">
        <v>20</v>
      </c>
      <c r="D11" s="33" t="s">
        <v>6</v>
      </c>
      <c r="E11" s="33" t="s">
        <v>21</v>
      </c>
      <c r="F11" s="33" t="s">
        <v>78</v>
      </c>
      <c r="G11" s="116" t="str">
        <f xml:space="preserve"> IF( OR(RIGHT(KeyTable[[#This Row],[StyleName]], 4) = "Date", RIGHT(KeyTable[[#This Row],[StyleName]], 3) = "Val"), "OCRB", "Bahnschrift")</f>
        <v>Bahnschrift</v>
      </c>
      <c r="H11" s="91" t="s">
        <v>101</v>
      </c>
      <c r="I11" s="37" t="s">
        <v>101</v>
      </c>
      <c r="J11" s="37" t="s">
        <v>96</v>
      </c>
      <c r="K11" s="91"/>
      <c r="L11" s="37"/>
      <c r="M11" s="103" t="s">
        <v>192</v>
      </c>
      <c r="N11" s="117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114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114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5">
      <c r="A12" s="58" t="s">
        <v>169</v>
      </c>
      <c r="B12" s="58" t="s">
        <v>168</v>
      </c>
      <c r="C12" s="3" t="s">
        <v>17</v>
      </c>
      <c r="D12" s="5" t="s">
        <v>6</v>
      </c>
      <c r="E12" s="5" t="s">
        <v>12</v>
      </c>
      <c r="F12" s="5" t="s">
        <v>204</v>
      </c>
      <c r="G12" s="109" t="str">
        <f xml:space="preserve"> IF( OR(RIGHT(KeyTable[[#This Row],[StyleName]], 4) = "Date", RIGHT(KeyTable[[#This Row],[StyleName]], 3) = "Val"), "OCRB", "Bahnschrift")</f>
        <v>Bahnschrift</v>
      </c>
      <c r="H12" s="90" t="s">
        <v>105</v>
      </c>
      <c r="I12" s="98" t="s">
        <v>105</v>
      </c>
      <c r="J12" s="98"/>
      <c r="K12" s="99" t="s">
        <v>196</v>
      </c>
      <c r="L12" s="100"/>
      <c r="M12" s="101"/>
      <c r="N12" s="110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111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111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5">
      <c r="A13" s="88" t="s">
        <v>215</v>
      </c>
      <c r="B13" s="88" t="s">
        <v>216</v>
      </c>
      <c r="C13" t="s">
        <v>17</v>
      </c>
      <c r="D13" s="5" t="s">
        <v>6</v>
      </c>
      <c r="E13" s="5" t="s">
        <v>12</v>
      </c>
      <c r="F13" s="5" t="s">
        <v>205</v>
      </c>
      <c r="G13" s="46" t="str">
        <f xml:space="preserve"> IF( OR(RIGHT(KeyTable[[#This Row],[StyleName]], 4) = "Date", RIGHT(KeyTable[[#This Row],[StyleName]], 3) = "Val"), "OCRB", "Bahnschrift")</f>
        <v>Bahnschrift</v>
      </c>
      <c r="H13" s="90" t="s">
        <v>105</v>
      </c>
      <c r="I13" s="98" t="s">
        <v>105</v>
      </c>
      <c r="J13" s="98"/>
      <c r="K13" s="90"/>
      <c r="L13" s="98"/>
      <c r="M13" s="102"/>
      <c r="N13" s="97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13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4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5">
      <c r="A14" s="47" t="s">
        <v>53</v>
      </c>
      <c r="B14" s="48" t="s">
        <v>151</v>
      </c>
      <c r="C14" s="3" t="s">
        <v>17</v>
      </c>
      <c r="D14" s="5" t="s">
        <v>6</v>
      </c>
      <c r="E14" s="5" t="s">
        <v>12</v>
      </c>
      <c r="F14" s="5" t="s">
        <v>205</v>
      </c>
      <c r="G14" s="46" t="str">
        <f xml:space="preserve"> IF( OR(RIGHT(KeyTable[[#This Row],[StyleName]], 4) = "Date", RIGHT(KeyTable[[#This Row],[StyleName]], 3) = "Val"), "OCRB", "Bahnschrift")</f>
        <v>Bahnschrift</v>
      </c>
      <c r="H14" s="90" t="s">
        <v>105</v>
      </c>
      <c r="I14" s="98" t="s">
        <v>105</v>
      </c>
      <c r="J14" s="98"/>
      <c r="K14" s="90"/>
      <c r="L14" s="98"/>
      <c r="M14" s="102"/>
      <c r="N14" s="97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13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4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5">
      <c r="A15" s="89" t="s">
        <v>217</v>
      </c>
      <c r="B15" s="89" t="s">
        <v>218</v>
      </c>
      <c r="C15" s="35" t="s">
        <v>56</v>
      </c>
      <c r="D15" s="35" t="s">
        <v>13</v>
      </c>
      <c r="E15" s="35" t="s">
        <v>14</v>
      </c>
      <c r="F15" s="35" t="s">
        <v>55</v>
      </c>
      <c r="G15" s="46" t="str">
        <f xml:space="preserve"> IF( OR(RIGHT(KeyTable[[#This Row],[StyleName]], 4) = "Date", RIGHT(KeyTable[[#This Row],[StyleName]], 3) = "Val"), "OCRB", "Bahnschrift")</f>
        <v>Bahnschrift</v>
      </c>
      <c r="H15" s="92" t="s">
        <v>105</v>
      </c>
      <c r="I15" s="38" t="s">
        <v>105</v>
      </c>
      <c r="J15" s="38"/>
      <c r="K15" s="92"/>
      <c r="L15" s="38" t="s">
        <v>196</v>
      </c>
      <c r="M15" s="102"/>
      <c r="N15" s="97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13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4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5">
      <c r="A16" s="1" t="s">
        <v>104</v>
      </c>
      <c r="B16" s="49" t="s">
        <v>150</v>
      </c>
      <c r="C16" s="3" t="s">
        <v>17</v>
      </c>
      <c r="D16" s="5" t="s">
        <v>13</v>
      </c>
      <c r="E16" s="5" t="s">
        <v>14</v>
      </c>
      <c r="F16" s="5" t="s">
        <v>55</v>
      </c>
      <c r="G16" s="46" t="str">
        <f xml:space="preserve"> IF( OR(RIGHT(KeyTable[[#This Row],[StyleName]], 4) = "Date", RIGHT(KeyTable[[#This Row],[StyleName]], 3) = "Val"), "OCRB", "Bahnschrift")</f>
        <v>OCRB</v>
      </c>
      <c r="H16" s="90" t="s">
        <v>105</v>
      </c>
      <c r="I16" s="98" t="s">
        <v>105</v>
      </c>
      <c r="J16" s="98"/>
      <c r="K16" s="90" t="s">
        <v>197</v>
      </c>
      <c r="L16" s="98" t="s">
        <v>196</v>
      </c>
      <c r="M16" s="102"/>
      <c r="N16" s="97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13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4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8" x14ac:dyDescent="0.25">
      <c r="A17" s="61" t="s">
        <v>54</v>
      </c>
      <c r="B17" s="34" t="s">
        <v>149</v>
      </c>
      <c r="C17" s="35" t="s">
        <v>56</v>
      </c>
      <c r="D17" s="35" t="s">
        <v>13</v>
      </c>
      <c r="E17" s="35" t="s">
        <v>14</v>
      </c>
      <c r="F17" s="35" t="s">
        <v>55</v>
      </c>
      <c r="G17" s="46" t="str">
        <f xml:space="preserve"> IF( OR(RIGHT(KeyTable[[#This Row],[StyleName]], 4) = "Date", RIGHT(KeyTable[[#This Row],[StyleName]], 3) = "Val"), "OCRB", "Bahnschrift")</f>
        <v>Bahnschrift</v>
      </c>
      <c r="H17" s="92" t="s">
        <v>105</v>
      </c>
      <c r="I17" s="38" t="s">
        <v>105</v>
      </c>
      <c r="J17" s="38"/>
      <c r="K17" s="92" t="s">
        <v>214</v>
      </c>
      <c r="L17" s="38" t="s">
        <v>196</v>
      </c>
      <c r="M17" s="102"/>
      <c r="N17" s="97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13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4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8" ht="14.4" thickBot="1" x14ac:dyDescent="0.3">
      <c r="A18" s="62" t="s">
        <v>163</v>
      </c>
      <c r="B18" s="62" t="s">
        <v>164</v>
      </c>
      <c r="C18" s="36" t="s">
        <v>165</v>
      </c>
      <c r="D18" s="36" t="s">
        <v>6</v>
      </c>
      <c r="E18" s="36" t="s">
        <v>166</v>
      </c>
      <c r="F18" s="33" t="s">
        <v>206</v>
      </c>
      <c r="G18" s="116" t="str">
        <f xml:space="preserve"> IF( OR(RIGHT(KeyTable[[#This Row],[StyleName]], 4) = "Date", RIGHT(KeyTable[[#This Row],[StyleName]], 3) = "Val"), "OCRB", "Bahnschrift")</f>
        <v>Bahnschrift</v>
      </c>
      <c r="H18" s="93" t="s">
        <v>105</v>
      </c>
      <c r="I18" s="39" t="s">
        <v>105</v>
      </c>
      <c r="J18" s="39" t="s">
        <v>105</v>
      </c>
      <c r="K18" s="93" t="s">
        <v>197</v>
      </c>
      <c r="L18" s="39"/>
      <c r="M18" s="103"/>
      <c r="N18" s="118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114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115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8" x14ac:dyDescent="0.25">
      <c r="A19" s="63" t="s">
        <v>57</v>
      </c>
      <c r="B19" s="63" t="s">
        <v>143</v>
      </c>
      <c r="C19" s="3" t="s">
        <v>5</v>
      </c>
      <c r="D19" s="3" t="s">
        <v>6</v>
      </c>
      <c r="E19" s="3" t="s">
        <v>12</v>
      </c>
      <c r="F19" s="3" t="s">
        <v>202</v>
      </c>
      <c r="G19" s="109" t="str">
        <f xml:space="preserve"> IF( OR(RIGHT(KeyTable[[#This Row],[StyleName]], 4) = "Date", RIGHT(KeyTable[[#This Row],[StyleName]], 3) = "Val"), "OCRB", "Bahnschrift")</f>
        <v>Bahnschrift</v>
      </c>
      <c r="H19" s="90" t="s">
        <v>159</v>
      </c>
      <c r="I19" s="4" t="s">
        <v>159</v>
      </c>
      <c r="K19" s="90"/>
      <c r="L19" s="98"/>
      <c r="M19" s="102"/>
      <c r="N19" s="110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111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112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8" x14ac:dyDescent="0.25">
      <c r="A20" s="69" t="s">
        <v>10</v>
      </c>
      <c r="B20" s="69" t="s">
        <v>142</v>
      </c>
      <c r="C20" s="3" t="s">
        <v>5</v>
      </c>
      <c r="D20" s="3" t="s">
        <v>6</v>
      </c>
      <c r="E20" s="3" t="s">
        <v>12</v>
      </c>
      <c r="F20" s="3" t="s">
        <v>202</v>
      </c>
      <c r="G20" s="41" t="str">
        <f xml:space="preserve"> IF( OR(RIGHT(KeyTable[[#This Row],[StyleName]], 4) = "Date", RIGHT(KeyTable[[#This Row],[StyleName]], 3) = "Val"), "OCRB", "Bahnschrift")</f>
        <v>Bahnschrift</v>
      </c>
      <c r="H20" s="90" t="s">
        <v>159</v>
      </c>
      <c r="I20" s="4" t="s">
        <v>159</v>
      </c>
      <c r="K20" s="90"/>
      <c r="L20" s="98"/>
      <c r="M20" s="102"/>
      <c r="N20" s="97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84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86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8" x14ac:dyDescent="0.25">
      <c r="A21" s="72" t="s">
        <v>58</v>
      </c>
      <c r="B21" s="72" t="s">
        <v>139</v>
      </c>
      <c r="C21" s="3" t="s">
        <v>16</v>
      </c>
      <c r="D21" s="3" t="s">
        <v>13</v>
      </c>
      <c r="E21" s="3" t="s">
        <v>14</v>
      </c>
      <c r="F21" s="3"/>
      <c r="G21" s="41" t="str">
        <f xml:space="preserve"> IF( OR(RIGHT(KeyTable[[#This Row],[StyleName]], 4) = "Date", RIGHT(KeyTable[[#This Row],[StyleName]], 3) = "Val"), "OCRB", "Bahnschrift")</f>
        <v>Bahnschrift</v>
      </c>
      <c r="H21" s="90" t="s">
        <v>96</v>
      </c>
      <c r="I21" s="4" t="s">
        <v>159</v>
      </c>
      <c r="K21" s="90"/>
      <c r="L21" s="98"/>
      <c r="M21" s="102"/>
      <c r="N21" s="97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84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86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8" x14ac:dyDescent="0.25">
      <c r="A22" s="76" t="s">
        <v>154</v>
      </c>
      <c r="B22" s="76" t="s">
        <v>153</v>
      </c>
      <c r="C22" s="3" t="s">
        <v>16</v>
      </c>
      <c r="D22" s="3" t="s">
        <v>13</v>
      </c>
      <c r="E22" s="3" t="s">
        <v>14</v>
      </c>
      <c r="F22" s="3" t="s">
        <v>155</v>
      </c>
      <c r="G22" s="41" t="str">
        <f xml:space="preserve"> IF( OR(RIGHT(KeyTable[[#This Row],[StyleName]], 4) = "Date", RIGHT(KeyTable[[#This Row],[StyleName]], 3) = "Val"), "OCRB", "Bahnschrift")</f>
        <v>OCRB</v>
      </c>
      <c r="H22" s="90" t="s">
        <v>96</v>
      </c>
      <c r="I22" s="4" t="s">
        <v>159</v>
      </c>
      <c r="K22" s="90" t="s">
        <v>197</v>
      </c>
      <c r="L22" s="98"/>
      <c r="M22" s="102"/>
      <c r="N22" s="97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84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86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8" x14ac:dyDescent="0.25">
      <c r="A23" s="70" t="s">
        <v>65</v>
      </c>
      <c r="B23" s="71" t="s">
        <v>141</v>
      </c>
      <c r="C23" s="3" t="s">
        <v>16</v>
      </c>
      <c r="D23" s="3" t="s">
        <v>13</v>
      </c>
      <c r="E23" s="3" t="s">
        <v>14</v>
      </c>
      <c r="F23" s="3"/>
      <c r="G23" s="41" t="str">
        <f xml:space="preserve"> IF( OR(RIGHT(KeyTable[[#This Row],[StyleName]], 4) = "Date", RIGHT(KeyTable[[#This Row],[StyleName]], 3) = "Val"), "OCRB", "Bahnschrift")</f>
        <v>OCRB</v>
      </c>
      <c r="H23" s="90" t="s">
        <v>96</v>
      </c>
      <c r="I23" s="4" t="s">
        <v>159</v>
      </c>
      <c r="K23" s="90" t="s">
        <v>197</v>
      </c>
      <c r="L23" s="98"/>
      <c r="M23" s="102"/>
      <c r="N23" s="97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84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86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8" s="3" customFormat="1" x14ac:dyDescent="0.25">
      <c r="A24" s="73" t="s">
        <v>15</v>
      </c>
      <c r="B24" s="74" t="s">
        <v>140</v>
      </c>
      <c r="C24" s="3" t="s">
        <v>16</v>
      </c>
      <c r="D24" s="3" t="s">
        <v>13</v>
      </c>
      <c r="E24" s="3" t="s">
        <v>14</v>
      </c>
      <c r="G24" s="41" t="str">
        <f xml:space="preserve"> IF( OR(RIGHT(KeyTable[[#This Row],[StyleName]], 4) = "Date", RIGHT(KeyTable[[#This Row],[StyleName]], 3) = "Val"), "OCRB", "Bahnschrift")</f>
        <v>Bahnschrift</v>
      </c>
      <c r="H24" s="90" t="s">
        <v>96</v>
      </c>
      <c r="I24" s="4" t="s">
        <v>159</v>
      </c>
      <c r="J24" s="4"/>
      <c r="K24" s="90" t="s">
        <v>214</v>
      </c>
      <c r="L24" s="98"/>
      <c r="M24" s="102"/>
      <c r="N24" s="97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84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86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24"/>
      <c r="AA24"/>
      <c r="AB24"/>
    </row>
    <row r="25" spans="1:28" s="3" customFormat="1" ht="14.4" thickBot="1" x14ac:dyDescent="0.3">
      <c r="A25" s="77" t="s">
        <v>90</v>
      </c>
      <c r="B25" s="77" t="s">
        <v>137</v>
      </c>
      <c r="C25" s="33" t="s">
        <v>16</v>
      </c>
      <c r="D25" s="33" t="s">
        <v>13</v>
      </c>
      <c r="E25" s="33" t="s">
        <v>52</v>
      </c>
      <c r="F25" s="33" t="s">
        <v>78</v>
      </c>
      <c r="G25" s="116" t="str">
        <f xml:space="preserve"> IF( OR(RIGHT(KeyTable[[#This Row],[StyleName]], 4) = "Date", RIGHT(KeyTable[[#This Row],[StyleName]], 3) = "Val"), "OCRB", "Bahnschrift")</f>
        <v>Bahnschrift</v>
      </c>
      <c r="H25" s="91" t="s">
        <v>159</v>
      </c>
      <c r="I25" s="37" t="s">
        <v>159</v>
      </c>
      <c r="J25" s="37" t="s">
        <v>159</v>
      </c>
      <c r="K25" s="91"/>
      <c r="L25" s="37"/>
      <c r="M25" s="103"/>
      <c r="N25" s="117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114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115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  <c r="Z25"/>
      <c r="AA25"/>
      <c r="AB25"/>
    </row>
    <row r="26" spans="1:28" x14ac:dyDescent="0.25">
      <c r="A26" s="78" t="s">
        <v>82</v>
      </c>
      <c r="B26" s="78" t="s">
        <v>144</v>
      </c>
      <c r="C26" t="s">
        <v>5</v>
      </c>
      <c r="D26" t="s">
        <v>6</v>
      </c>
      <c r="E26" t="s">
        <v>12</v>
      </c>
      <c r="F26" t="s">
        <v>203</v>
      </c>
      <c r="G26" s="109" t="str">
        <f xml:space="preserve"> IF( OR(RIGHT(KeyTable[[#This Row],[StyleName]], 4) = "Date", RIGHT(KeyTable[[#This Row],[StyleName]], 3) = "Val"), "OCRB", "Bahnschrift")</f>
        <v>Bahnschrift</v>
      </c>
      <c r="H26" s="90" t="s">
        <v>103</v>
      </c>
      <c r="I26" s="4" t="s">
        <v>103</v>
      </c>
      <c r="K26" s="99"/>
      <c r="L26" s="100"/>
      <c r="M26" s="101"/>
      <c r="N26" s="110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111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112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8" x14ac:dyDescent="0.25">
      <c r="A27" s="7" t="s">
        <v>83</v>
      </c>
      <c r="B27" s="7" t="s">
        <v>145</v>
      </c>
      <c r="C27" t="s">
        <v>11</v>
      </c>
      <c r="D27" t="s">
        <v>6</v>
      </c>
      <c r="E27" t="s">
        <v>91</v>
      </c>
      <c r="F27" s="3" t="s">
        <v>202</v>
      </c>
      <c r="G27" s="41" t="str">
        <f xml:space="preserve"> IF( OR(RIGHT(KeyTable[[#This Row],[StyleName]], 4) = "Date", RIGHT(KeyTable[[#This Row],[StyleName]], 3) = "Val"), "OCRB", "Bahnschrift")</f>
        <v>Bahnschrift</v>
      </c>
      <c r="H27" s="90" t="s">
        <v>103</v>
      </c>
      <c r="I27" s="4" t="s">
        <v>103</v>
      </c>
      <c r="K27" s="90"/>
      <c r="L27" s="98"/>
      <c r="M27" s="102"/>
      <c r="N27" s="97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84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86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8" x14ac:dyDescent="0.25">
      <c r="A28" s="29" t="s">
        <v>87</v>
      </c>
      <c r="B28" s="29" t="s">
        <v>147</v>
      </c>
      <c r="C28" t="s">
        <v>8</v>
      </c>
      <c r="D28" t="s">
        <v>6</v>
      </c>
      <c r="E28" s="3" t="s">
        <v>92</v>
      </c>
      <c r="G28" s="41" t="str">
        <f xml:space="preserve"> IF( OR(RIGHT(KeyTable[[#This Row],[StyleName]], 4) = "Date", RIGHT(KeyTable[[#This Row],[StyleName]], 3) = "Val"), "OCRB", "Bahnschrift")</f>
        <v>Bahnschrift</v>
      </c>
      <c r="H28" s="95" t="s">
        <v>96</v>
      </c>
      <c r="I28" s="4" t="s">
        <v>103</v>
      </c>
      <c r="K28" s="90"/>
      <c r="L28" s="98"/>
      <c r="M28" s="102"/>
      <c r="N28" s="97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84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86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8" x14ac:dyDescent="0.25">
      <c r="A29" s="9" t="s">
        <v>107</v>
      </c>
      <c r="B29" s="9" t="s">
        <v>146</v>
      </c>
      <c r="C29" s="3" t="s">
        <v>8</v>
      </c>
      <c r="D29" s="3" t="s">
        <v>6</v>
      </c>
      <c r="E29" s="3" t="s">
        <v>93</v>
      </c>
      <c r="F29" s="3"/>
      <c r="G29" s="41" t="str">
        <f xml:space="preserve"> IF( OR(RIGHT(KeyTable[[#This Row],[StyleName]], 4) = "Date", RIGHT(KeyTable[[#This Row],[StyleName]], 3) = "Val"), "OCRB", "Bahnschrift")</f>
        <v>OCRB</v>
      </c>
      <c r="H29" s="95" t="s">
        <v>96</v>
      </c>
      <c r="I29" s="4" t="s">
        <v>103</v>
      </c>
      <c r="K29" s="90" t="s">
        <v>197</v>
      </c>
      <c r="L29" s="98"/>
      <c r="M29" s="102"/>
      <c r="N29" s="97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84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86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8" x14ac:dyDescent="0.25">
      <c r="A30" s="8" t="s">
        <v>86</v>
      </c>
      <c r="B30" s="8" t="s">
        <v>148</v>
      </c>
      <c r="C30" t="s">
        <v>8</v>
      </c>
      <c r="D30" t="s">
        <v>6</v>
      </c>
      <c r="E30" t="s">
        <v>93</v>
      </c>
      <c r="G30" s="41" t="str">
        <f xml:space="preserve"> IF( OR(RIGHT(KeyTable[[#This Row],[StyleName]], 4) = "Date", RIGHT(KeyTable[[#This Row],[StyleName]], 3) = "Val"), "OCRB", "Bahnschrift")</f>
        <v>Bahnschrift</v>
      </c>
      <c r="H30" s="95" t="s">
        <v>96</v>
      </c>
      <c r="I30" s="4" t="s">
        <v>103</v>
      </c>
      <c r="K30" s="90" t="s">
        <v>214</v>
      </c>
      <c r="L30" s="98"/>
      <c r="M30" s="102"/>
      <c r="N30" s="97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84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86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8" ht="14.4" thickBot="1" x14ac:dyDescent="0.3">
      <c r="A31" s="75" t="s">
        <v>88</v>
      </c>
      <c r="B31" s="75" t="s">
        <v>138</v>
      </c>
      <c r="C31" s="33" t="s">
        <v>18</v>
      </c>
      <c r="D31" s="33" t="s">
        <v>13</v>
      </c>
      <c r="E31" s="33" t="s">
        <v>19</v>
      </c>
      <c r="F31" s="33" t="s">
        <v>78</v>
      </c>
      <c r="G31" s="116" t="str">
        <f xml:space="preserve"> IF( OR(RIGHT(KeyTable[[#This Row],[StyleName]], 4) = "Date", RIGHT(KeyTable[[#This Row],[StyleName]], 3) = "Val"), "OCRB", "Bahnschrift")</f>
        <v>Bahnschrift</v>
      </c>
      <c r="H31" s="91" t="s">
        <v>103</v>
      </c>
      <c r="I31" s="37" t="s">
        <v>103</v>
      </c>
      <c r="J31" s="37" t="s">
        <v>103</v>
      </c>
      <c r="K31" s="91" t="s">
        <v>197</v>
      </c>
      <c r="L31" s="37"/>
      <c r="M31" s="103"/>
      <c r="N31" s="117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114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115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8" s="2" customFormat="1" x14ac:dyDescent="0.25">
      <c r="A32" s="68" t="s">
        <v>176</v>
      </c>
      <c r="B32" s="68" t="s">
        <v>170</v>
      </c>
      <c r="C32" t="s">
        <v>5</v>
      </c>
      <c r="D32" t="s">
        <v>6</v>
      </c>
      <c r="E32" t="s">
        <v>12</v>
      </c>
      <c r="F32" s="3" t="s">
        <v>202</v>
      </c>
      <c r="G32" s="109" t="str">
        <f xml:space="preserve"> IF( OR(RIGHT(KeyTable[[#This Row],[StyleName]], 4) = "Date", RIGHT(KeyTable[[#This Row],[StyleName]], 3) = "Val"), "OCRB", "Bahnschrift")</f>
        <v>Bahnschrift</v>
      </c>
      <c r="H32" s="90" t="s">
        <v>102</v>
      </c>
      <c r="I32" s="4" t="s">
        <v>102</v>
      </c>
      <c r="J32" s="4"/>
      <c r="K32" s="99"/>
      <c r="L32" s="100"/>
      <c r="M32" s="101"/>
      <c r="N32" s="110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111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112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2"/>
      <c r="AA32"/>
      <c r="AB32"/>
    </row>
    <row r="33" spans="1:28" s="2" customFormat="1" x14ac:dyDescent="0.25">
      <c r="A33" s="28" t="s">
        <v>177</v>
      </c>
      <c r="B33" s="28" t="s">
        <v>171</v>
      </c>
      <c r="C33" t="s">
        <v>5</v>
      </c>
      <c r="D33" t="s">
        <v>6</v>
      </c>
      <c r="E33" t="s">
        <v>12</v>
      </c>
      <c r="F33" s="3" t="s">
        <v>202</v>
      </c>
      <c r="G33" s="41" t="str">
        <f xml:space="preserve"> IF( OR(RIGHT(KeyTable[[#This Row],[StyleName]], 4) = "Date", RIGHT(KeyTable[[#This Row],[StyleName]], 3) = "Val"), "OCRB", "Bahnschrift")</f>
        <v>Bahnschrift</v>
      </c>
      <c r="H33" s="90" t="s">
        <v>102</v>
      </c>
      <c r="I33" s="4" t="s">
        <v>102</v>
      </c>
      <c r="J33" s="4"/>
      <c r="K33" s="90"/>
      <c r="L33" s="98"/>
      <c r="M33" s="102"/>
      <c r="N33" s="97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84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86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3"/>
      <c r="AA33"/>
      <c r="AB33"/>
    </row>
    <row r="34" spans="1:28" x14ac:dyDescent="0.25">
      <c r="A34" s="26" t="s">
        <v>180</v>
      </c>
      <c r="B34" s="26" t="s">
        <v>174</v>
      </c>
      <c r="C34" s="3" t="s">
        <v>184</v>
      </c>
      <c r="D34" s="3" t="s">
        <v>6</v>
      </c>
      <c r="E34" s="5" t="s">
        <v>185</v>
      </c>
      <c r="G34" s="41" t="str">
        <f xml:space="preserve"> IF( OR(RIGHT(KeyTable[[#This Row],[StyleName]], 4) = "Date", RIGHT(KeyTable[[#This Row],[StyleName]], 3) = "Val"), "OCRB", "Bahnschrift")</f>
        <v>Bahnschrift</v>
      </c>
      <c r="H34" s="95" t="s">
        <v>96</v>
      </c>
      <c r="I34" s="4" t="s">
        <v>102</v>
      </c>
      <c r="K34" s="90"/>
      <c r="L34" s="98"/>
      <c r="M34" s="102"/>
      <c r="N34" s="97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84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86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28" x14ac:dyDescent="0.25">
      <c r="A35" s="30" t="s">
        <v>178</v>
      </c>
      <c r="B35" s="30" t="s">
        <v>172</v>
      </c>
      <c r="C35" s="3" t="s">
        <v>184</v>
      </c>
      <c r="D35" s="3" t="s">
        <v>6</v>
      </c>
      <c r="E35" s="3" t="s">
        <v>186</v>
      </c>
      <c r="F35" s="3" t="s">
        <v>155</v>
      </c>
      <c r="G35" s="41" t="str">
        <f xml:space="preserve"> IF( OR(RIGHT(KeyTable[[#This Row],[StyleName]], 4) = "Date", RIGHT(KeyTable[[#This Row],[StyleName]], 3) = "Val"), "OCRB", "Bahnschrift")</f>
        <v>OCRB</v>
      </c>
      <c r="H35" s="95" t="s">
        <v>96</v>
      </c>
      <c r="I35" s="4" t="s">
        <v>102</v>
      </c>
      <c r="K35" s="90" t="s">
        <v>197</v>
      </c>
      <c r="L35" s="98"/>
      <c r="M35" s="102"/>
      <c r="N35" s="97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84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86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28" x14ac:dyDescent="0.25">
      <c r="A36" s="67" t="s">
        <v>179</v>
      </c>
      <c r="B36" s="25" t="s">
        <v>173</v>
      </c>
      <c r="C36" s="3" t="s">
        <v>184</v>
      </c>
      <c r="D36" s="3" t="s">
        <v>6</v>
      </c>
      <c r="E36" s="3" t="s">
        <v>186</v>
      </c>
      <c r="F36" s="3"/>
      <c r="G36" s="41" t="str">
        <f xml:space="preserve"> IF( OR(RIGHT(KeyTable[[#This Row],[StyleName]], 4) = "Date", RIGHT(KeyTable[[#This Row],[StyleName]], 3) = "Val"), "OCRB", "Bahnschrift")</f>
        <v>OCRB</v>
      </c>
      <c r="H36" s="95" t="s">
        <v>96</v>
      </c>
      <c r="I36" s="4" t="s">
        <v>102</v>
      </c>
      <c r="K36" s="90" t="s">
        <v>197</v>
      </c>
      <c r="L36" s="98"/>
      <c r="M36" s="102"/>
      <c r="N36" s="97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84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86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28" x14ac:dyDescent="0.25">
      <c r="A37" s="66" t="s">
        <v>181</v>
      </c>
      <c r="B37" s="27" t="s">
        <v>175</v>
      </c>
      <c r="C37" s="3" t="s">
        <v>184</v>
      </c>
      <c r="D37" s="3" t="s">
        <v>6</v>
      </c>
      <c r="E37" s="5" t="s">
        <v>185</v>
      </c>
      <c r="G37" s="41" t="str">
        <f xml:space="preserve"> IF( OR(RIGHT(KeyTable[[#This Row],[StyleName]], 4) = "Date", RIGHT(KeyTable[[#This Row],[StyleName]], 3) = "Val"), "OCRB", "Bahnschrift")</f>
        <v>Bahnschrift</v>
      </c>
      <c r="H37" s="95" t="s">
        <v>96</v>
      </c>
      <c r="I37" s="4" t="s">
        <v>102</v>
      </c>
      <c r="K37" s="90" t="s">
        <v>214</v>
      </c>
      <c r="L37" s="98"/>
      <c r="M37" s="102"/>
      <c r="N37" s="97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84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86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28" ht="14.4" thickBot="1" x14ac:dyDescent="0.3">
      <c r="A38" s="50" t="s">
        <v>182</v>
      </c>
      <c r="B38" s="50" t="s">
        <v>183</v>
      </c>
      <c r="C38" s="33" t="s">
        <v>184</v>
      </c>
      <c r="D38" s="33" t="s">
        <v>6</v>
      </c>
      <c r="E38" s="33" t="s">
        <v>185</v>
      </c>
      <c r="F38" s="33" t="s">
        <v>78</v>
      </c>
      <c r="G38" s="116" t="str">
        <f xml:space="preserve"> IF( OR(RIGHT(KeyTable[[#This Row],[StyleName]], 4) = "Date", RIGHT(KeyTable[[#This Row],[StyleName]], 3) = "Val"), "OCRB", "Bahnschrift")</f>
        <v>Bahnschrift</v>
      </c>
      <c r="H38" s="91" t="s">
        <v>102</v>
      </c>
      <c r="I38" s="37" t="s">
        <v>102</v>
      </c>
      <c r="J38" s="37" t="s">
        <v>102</v>
      </c>
      <c r="K38" s="91"/>
      <c r="L38" s="37"/>
      <c r="M38" s="103"/>
      <c r="N38" s="117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114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115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28" x14ac:dyDescent="0.25">
      <c r="A39" s="51" t="s">
        <v>76</v>
      </c>
      <c r="B39" s="51" t="s">
        <v>132</v>
      </c>
      <c r="C39" t="s">
        <v>5</v>
      </c>
      <c r="D39" t="s">
        <v>6</v>
      </c>
      <c r="E39" t="s">
        <v>12</v>
      </c>
      <c r="F39" s="3" t="s">
        <v>202</v>
      </c>
      <c r="G39" s="109" t="str">
        <f xml:space="preserve"> IF( OR(RIGHT(KeyTable[[#This Row],[StyleName]], 4) = "Date", RIGHT(KeyTable[[#This Row],[StyleName]], 3) = "Val"), "OCRB", "Bahnschrift")</f>
        <v>Bahnschrift</v>
      </c>
      <c r="H39" s="90" t="s">
        <v>108</v>
      </c>
      <c r="I39" s="4" t="s">
        <v>108</v>
      </c>
      <c r="K39" s="99"/>
      <c r="L39" s="100"/>
      <c r="M39" s="101"/>
      <c r="N39" s="110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111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112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28" x14ac:dyDescent="0.25">
      <c r="A40" s="52" t="s">
        <v>75</v>
      </c>
      <c r="B40" s="52" t="s">
        <v>135</v>
      </c>
      <c r="C40" t="s">
        <v>5</v>
      </c>
      <c r="D40" t="s">
        <v>6</v>
      </c>
      <c r="E40" t="s">
        <v>12</v>
      </c>
      <c r="F40" s="3" t="s">
        <v>202</v>
      </c>
      <c r="G40" s="41" t="str">
        <f xml:space="preserve"> IF( OR(RIGHT(KeyTable[[#This Row],[StyleName]], 4) = "Date", RIGHT(KeyTable[[#This Row],[StyleName]], 3) = "Val"), "OCRB", "Bahnschrift")</f>
        <v>Bahnschrift</v>
      </c>
      <c r="H40" s="90" t="s">
        <v>108</v>
      </c>
      <c r="I40" s="4" t="s">
        <v>108</v>
      </c>
      <c r="K40" s="90"/>
      <c r="L40" s="98"/>
      <c r="M40" s="102"/>
      <c r="N40" s="97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84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86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28" x14ac:dyDescent="0.25">
      <c r="A41" s="54" t="s">
        <v>84</v>
      </c>
      <c r="B41" s="54" t="s">
        <v>134</v>
      </c>
      <c r="C41" t="s">
        <v>8</v>
      </c>
      <c r="D41" t="s">
        <v>6</v>
      </c>
      <c r="E41" t="s">
        <v>37</v>
      </c>
      <c r="G41" s="41" t="str">
        <f xml:space="preserve"> IF( OR(RIGHT(KeyTable[[#This Row],[StyleName]], 4) = "Date", RIGHT(KeyTable[[#This Row],[StyleName]], 3) = "Val"), "OCRB", "Bahnschrift")</f>
        <v>Bahnschrift</v>
      </c>
      <c r="H41" s="95" t="s">
        <v>96</v>
      </c>
      <c r="I41" s="4" t="s">
        <v>108</v>
      </c>
      <c r="K41" s="90"/>
      <c r="L41" s="98"/>
      <c r="M41" s="102"/>
      <c r="N41" s="97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84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86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28" x14ac:dyDescent="0.25">
      <c r="A42" s="53" t="s">
        <v>106</v>
      </c>
      <c r="B42" s="53" t="s">
        <v>122</v>
      </c>
      <c r="C42" s="3" t="s">
        <v>8</v>
      </c>
      <c r="D42" s="3" t="s">
        <v>6</v>
      </c>
      <c r="E42" s="3" t="s">
        <v>37</v>
      </c>
      <c r="F42" s="3"/>
      <c r="G42" s="41" t="str">
        <f xml:space="preserve"> IF( OR(RIGHT(KeyTable[[#This Row],[StyleName]], 4) = "Date", RIGHT(KeyTable[[#This Row],[StyleName]], 3) = "Val"), "OCRB", "Bahnschrift")</f>
        <v>OCRB</v>
      </c>
      <c r="H42" s="95" t="s">
        <v>96</v>
      </c>
      <c r="I42" s="4" t="s">
        <v>108</v>
      </c>
      <c r="K42" s="90" t="s">
        <v>197</v>
      </c>
      <c r="L42" s="98"/>
      <c r="M42" s="102"/>
      <c r="N42" s="97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84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86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28" x14ac:dyDescent="0.25">
      <c r="A43" s="55" t="s">
        <v>74</v>
      </c>
      <c r="B43" s="55" t="s">
        <v>133</v>
      </c>
      <c r="C43" t="s">
        <v>8</v>
      </c>
      <c r="D43" t="s">
        <v>6</v>
      </c>
      <c r="E43" t="s">
        <v>37</v>
      </c>
      <c r="G43" s="41" t="str">
        <f xml:space="preserve"> IF( OR(RIGHT(KeyTable[[#This Row],[StyleName]], 4) = "Date", RIGHT(KeyTable[[#This Row],[StyleName]], 3) = "Val"), "OCRB", "Bahnschrift")</f>
        <v>Bahnschrift</v>
      </c>
      <c r="H43" s="95" t="s">
        <v>96</v>
      </c>
      <c r="I43" s="4" t="s">
        <v>108</v>
      </c>
      <c r="K43" s="90" t="s">
        <v>214</v>
      </c>
      <c r="L43" s="98"/>
      <c r="M43" s="102"/>
      <c r="N43" s="97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84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86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28" ht="14.4" thickBot="1" x14ac:dyDescent="0.3">
      <c r="A44" s="56" t="s">
        <v>89</v>
      </c>
      <c r="B44" s="56" t="s">
        <v>136</v>
      </c>
      <c r="C44" s="33" t="s">
        <v>8</v>
      </c>
      <c r="D44" s="33" t="s">
        <v>6</v>
      </c>
      <c r="E44" s="33" t="s">
        <v>37</v>
      </c>
      <c r="F44" s="33" t="s">
        <v>78</v>
      </c>
      <c r="G44" s="116" t="str">
        <f xml:space="preserve"> IF( OR(RIGHT(KeyTable[[#This Row],[StyleName]], 4) = "Date", RIGHT(KeyTable[[#This Row],[StyleName]], 3) = "Val"), "OCRB", "Bahnschrift")</f>
        <v>Bahnschrift</v>
      </c>
      <c r="H44" s="91" t="s">
        <v>108</v>
      </c>
      <c r="I44" s="37" t="s">
        <v>108</v>
      </c>
      <c r="J44" s="37" t="s">
        <v>108</v>
      </c>
      <c r="K44" s="91" t="s">
        <v>227</v>
      </c>
      <c r="L44" s="37"/>
      <c r="M44" s="103"/>
      <c r="N44" s="117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114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115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28" x14ac:dyDescent="0.25">
      <c r="A45" s="57" t="s">
        <v>22</v>
      </c>
      <c r="B45" s="57" t="s">
        <v>129</v>
      </c>
      <c r="C45" t="s">
        <v>5</v>
      </c>
      <c r="D45" t="s">
        <v>6</v>
      </c>
      <c r="E45" t="s">
        <v>23</v>
      </c>
      <c r="F45" s="3" t="s">
        <v>202</v>
      </c>
      <c r="G45" s="109" t="str">
        <f xml:space="preserve"> IF( OR(RIGHT(KeyTable[[#This Row],[StyleName]], 4) = "Date", RIGHT(KeyTable[[#This Row],[StyleName]], 3) = "Val"), "OCRB", "Bahnschrift")</f>
        <v>Bahnschrift</v>
      </c>
      <c r="H45" s="90" t="s">
        <v>109</v>
      </c>
      <c r="I45" s="4" t="s">
        <v>109</v>
      </c>
      <c r="K45" s="99"/>
      <c r="L45" s="100"/>
      <c r="M45" s="101"/>
      <c r="N45" s="110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111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112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28" x14ac:dyDescent="0.25">
      <c r="A46" s="79" t="s">
        <v>24</v>
      </c>
      <c r="B46" s="79" t="s">
        <v>128</v>
      </c>
      <c r="C46" t="s">
        <v>5</v>
      </c>
      <c r="D46" t="s">
        <v>6</v>
      </c>
      <c r="E46" t="s">
        <v>23</v>
      </c>
      <c r="F46" s="3" t="s">
        <v>202</v>
      </c>
      <c r="G46" s="41" t="str">
        <f xml:space="preserve"> IF( OR(RIGHT(KeyTable[[#This Row],[StyleName]], 4) = "Date", RIGHT(KeyTable[[#This Row],[StyleName]], 3) = "Val"), "OCRB", "Bahnschrift")</f>
        <v>Bahnschrift</v>
      </c>
      <c r="H46" s="90" t="s">
        <v>109</v>
      </c>
      <c r="I46" s="4" t="s">
        <v>109</v>
      </c>
      <c r="K46" s="90"/>
      <c r="L46" s="98"/>
      <c r="M46" s="102"/>
      <c r="N46" s="97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84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86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28" x14ac:dyDescent="0.25">
      <c r="A47" s="81" t="s">
        <v>25</v>
      </c>
      <c r="B47" s="81" t="s">
        <v>127</v>
      </c>
      <c r="C47" t="s">
        <v>18</v>
      </c>
      <c r="D47" t="s">
        <v>6</v>
      </c>
      <c r="E47" t="s">
        <v>23</v>
      </c>
      <c r="G47" s="41" t="str">
        <f xml:space="preserve"> IF( OR(RIGHT(KeyTable[[#This Row],[StyleName]], 4) = "Date", RIGHT(KeyTable[[#This Row],[StyleName]], 3) = "Val"), "OCRB", "Bahnschrift")</f>
        <v>Bahnschrift</v>
      </c>
      <c r="H47" s="95" t="s">
        <v>96</v>
      </c>
      <c r="I47" s="4" t="s">
        <v>109</v>
      </c>
      <c r="K47" s="90"/>
      <c r="L47" s="98"/>
      <c r="M47" s="102"/>
      <c r="N47" s="97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84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86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28" x14ac:dyDescent="0.25">
      <c r="A48" s="80" t="s">
        <v>110</v>
      </c>
      <c r="B48" s="80" t="s">
        <v>123</v>
      </c>
      <c r="C48" s="3" t="s">
        <v>18</v>
      </c>
      <c r="D48" s="3" t="s">
        <v>6</v>
      </c>
      <c r="E48" s="3" t="s">
        <v>23</v>
      </c>
      <c r="F48" s="3"/>
      <c r="G48" s="41" t="str">
        <f xml:space="preserve"> IF( OR(RIGHT(KeyTable[[#This Row],[StyleName]], 4) = "Date", RIGHT(KeyTable[[#This Row],[StyleName]], 3) = "Val"), "OCRB", "Bahnschrift")</f>
        <v>OCRB</v>
      </c>
      <c r="H48" s="95" t="s">
        <v>96</v>
      </c>
      <c r="I48" s="4" t="s">
        <v>109</v>
      </c>
      <c r="K48" s="90" t="s">
        <v>197</v>
      </c>
      <c r="L48" s="98"/>
      <c r="M48" s="102"/>
      <c r="N48" s="97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84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86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28" x14ac:dyDescent="0.25">
      <c r="A49" s="82" t="s">
        <v>26</v>
      </c>
      <c r="B49" s="82" t="s">
        <v>130</v>
      </c>
      <c r="C49" t="s">
        <v>18</v>
      </c>
      <c r="D49" t="s">
        <v>6</v>
      </c>
      <c r="E49" t="s">
        <v>23</v>
      </c>
      <c r="G49" s="41" t="str">
        <f xml:space="preserve"> IF( OR(RIGHT(KeyTable[[#This Row],[StyleName]], 4) = "Date", RIGHT(KeyTable[[#This Row],[StyleName]], 3) = "Val"), "OCRB", "Bahnschrift")</f>
        <v>Bahnschrift</v>
      </c>
      <c r="H49" s="95" t="s">
        <v>96</v>
      </c>
      <c r="I49" s="4" t="s">
        <v>109</v>
      </c>
      <c r="K49" s="90" t="s">
        <v>214</v>
      </c>
      <c r="L49" s="98"/>
      <c r="M49" s="102"/>
      <c r="N49" s="97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84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86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28" x14ac:dyDescent="0.25">
      <c r="A50" s="83" t="s">
        <v>94</v>
      </c>
      <c r="B50" s="83" t="s">
        <v>131</v>
      </c>
      <c r="C50" s="3" t="s">
        <v>95</v>
      </c>
      <c r="D50" s="3" t="s">
        <v>6</v>
      </c>
      <c r="E50" s="3" t="s">
        <v>23</v>
      </c>
      <c r="F50" s="3" t="s">
        <v>207</v>
      </c>
      <c r="G50" s="41" t="str">
        <f xml:space="preserve"> IF( OR(RIGHT(KeyTable[[#This Row],[StyleName]], 4) = "Date", RIGHT(KeyTable[[#This Row],[StyleName]], 3) = "Val"), "OCRB", "Bahnschrift")</f>
        <v>Bahnschrift</v>
      </c>
      <c r="H50" s="90" t="s">
        <v>109</v>
      </c>
      <c r="I50" s="4" t="s">
        <v>109</v>
      </c>
      <c r="J50" s="4" t="s">
        <v>109</v>
      </c>
      <c r="K50" s="92" t="s">
        <v>197</v>
      </c>
      <c r="L50" s="38"/>
      <c r="M50" s="104"/>
      <c r="N50" s="97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84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86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2" spans="1:28" ht="20.399999999999999" x14ac:dyDescent="0.25">
      <c r="B52" s="125" t="s">
        <v>27</v>
      </c>
      <c r="C52" s="125"/>
      <c r="D52" s="125"/>
      <c r="E52" s="125"/>
      <c r="Z52" s="3"/>
      <c r="AA52" s="3"/>
      <c r="AB52" s="3"/>
    </row>
    <row r="53" spans="1:28" s="3" customFormat="1" x14ac:dyDescent="0.25">
      <c r="A53" s="2"/>
      <c r="B53" s="20" t="s">
        <v>61</v>
      </c>
      <c r="C53" s="17" t="s">
        <v>62</v>
      </c>
      <c r="D53" s="21" t="s">
        <v>124</v>
      </c>
      <c r="E53" s="10" t="s">
        <v>28</v>
      </c>
      <c r="F53" s="2"/>
      <c r="G53" s="2"/>
      <c r="I53" s="4"/>
      <c r="J53" s="4"/>
      <c r="K53" s="4"/>
      <c r="L53" s="4"/>
      <c r="M53" s="4"/>
      <c r="N53" s="2"/>
      <c r="O53" s="2"/>
      <c r="P53"/>
      <c r="Z53"/>
      <c r="AA53"/>
      <c r="AB53"/>
    </row>
    <row r="54" spans="1:28" s="3" customFormat="1" x14ac:dyDescent="0.25">
      <c r="A54" s="2"/>
      <c r="B54" s="18" t="s">
        <v>59</v>
      </c>
      <c r="C54" s="14" t="s">
        <v>60</v>
      </c>
      <c r="D54" s="22" t="s">
        <v>125</v>
      </c>
      <c r="E54" s="11" t="s">
        <v>224</v>
      </c>
      <c r="F54" s="2"/>
      <c r="G54" s="2"/>
      <c r="I54" s="4"/>
      <c r="J54" s="4"/>
      <c r="K54" s="4"/>
      <c r="L54" s="4"/>
      <c r="M54" s="4"/>
      <c r="N54" s="2"/>
      <c r="O54" s="2"/>
      <c r="P54"/>
      <c r="Z54"/>
      <c r="AA54"/>
      <c r="AB54"/>
    </row>
    <row r="55" spans="1:28" x14ac:dyDescent="0.25">
      <c r="A55" s="3"/>
      <c r="B55" s="18" t="s">
        <v>80</v>
      </c>
      <c r="C55" s="15" t="s">
        <v>29</v>
      </c>
      <c r="D55" s="23" t="s">
        <v>126</v>
      </c>
      <c r="E55" s="12" t="s">
        <v>72</v>
      </c>
      <c r="F55" s="3"/>
      <c r="G55" s="3"/>
      <c r="N55" s="3"/>
      <c r="O55" s="3"/>
      <c r="P55" s="3"/>
    </row>
    <row r="56" spans="1:28" x14ac:dyDescent="0.25">
      <c r="A56" s="3"/>
      <c r="B56" s="19" t="s">
        <v>81</v>
      </c>
      <c r="C56" s="16" t="s">
        <v>81</v>
      </c>
      <c r="D56" s="24" t="s">
        <v>81</v>
      </c>
      <c r="E56" s="13" t="s">
        <v>223</v>
      </c>
      <c r="F56" s="3"/>
      <c r="G56" s="3"/>
      <c r="N56" s="3"/>
      <c r="O56" s="3"/>
      <c r="P56" s="3"/>
    </row>
    <row r="57" spans="1:28" x14ac:dyDescent="0.25">
      <c r="E57"/>
    </row>
    <row r="58" spans="1:28" ht="20.399999999999999" x14ac:dyDescent="0.25">
      <c r="B58" s="126" t="s">
        <v>211</v>
      </c>
      <c r="C58" s="127"/>
      <c r="D58" s="128"/>
      <c r="E58" s="3"/>
    </row>
    <row r="59" spans="1:28" x14ac:dyDescent="0.25">
      <c r="B59" t="s">
        <v>187</v>
      </c>
      <c r="C59" t="s">
        <v>188</v>
      </c>
      <c r="D59" s="40" t="s">
        <v>190</v>
      </c>
      <c r="E59"/>
    </row>
    <row r="60" spans="1:28" x14ac:dyDescent="0.25">
      <c r="B60" t="s">
        <v>63</v>
      </c>
      <c r="C60" t="s">
        <v>189</v>
      </c>
      <c r="D60" s="41" t="str">
        <f>RIGHT(LookupSampleTable[[#This Row],[LookupColumn2]],5)</f>
        <v>Value</v>
      </c>
      <c r="E60"/>
    </row>
    <row r="61" spans="1:28" x14ac:dyDescent="0.25">
      <c r="B61" t="s">
        <v>64</v>
      </c>
      <c r="D61" s="41" t="str">
        <f>RIGHT(LookupSampleTable[[#This Row],[LookupColumn2]],5)</f>
        <v/>
      </c>
      <c r="E61"/>
    </row>
    <row r="62" spans="1:28" s="3" customFormat="1" x14ac:dyDescent="0.25">
      <c r="A62"/>
      <c r="B62" t="s">
        <v>73</v>
      </c>
      <c r="C62"/>
      <c r="D62" s="40" t="str">
        <f>COUNTIF(LookupSampleTable[CalcColumn], "Value") &amp; " Value in Column"</f>
        <v>1 Value in Column</v>
      </c>
      <c r="E62"/>
      <c r="F62"/>
      <c r="G62"/>
      <c r="I62" s="4"/>
      <c r="J62" s="4"/>
      <c r="K62" s="4"/>
      <c r="L62" s="4"/>
      <c r="M62" s="4"/>
      <c r="N62"/>
      <c r="O62"/>
      <c r="P62"/>
      <c r="Z62"/>
      <c r="AA62"/>
      <c r="AB62"/>
    </row>
    <row r="63" spans="1:28" x14ac:dyDescent="0.25">
      <c r="E63"/>
    </row>
    <row r="64" spans="1:28" ht="20.399999999999999" x14ac:dyDescent="0.25">
      <c r="A64" s="3"/>
      <c r="B64" s="122" t="s">
        <v>212</v>
      </c>
      <c r="C64" s="123"/>
      <c r="D64" s="124"/>
      <c r="E64" s="3"/>
      <c r="F64" s="3"/>
      <c r="G64" s="3"/>
      <c r="N64" s="3"/>
      <c r="O64" s="3"/>
      <c r="P64" s="3"/>
    </row>
    <row r="65" spans="1:28" x14ac:dyDescent="0.25">
      <c r="B65" t="s">
        <v>30</v>
      </c>
      <c r="C65" t="s">
        <v>32</v>
      </c>
      <c r="D65" s="40" t="s">
        <v>31</v>
      </c>
      <c r="E65"/>
    </row>
    <row r="66" spans="1:28" x14ac:dyDescent="0.25">
      <c r="B66" t="s">
        <v>66</v>
      </c>
      <c r="D66" s="65">
        <f t="shared" ref="D66:D67" si="0">1 /  VALUE(LEFT($C$68,1))</f>
        <v>0.5</v>
      </c>
      <c r="E66"/>
    </row>
    <row r="67" spans="1:28" x14ac:dyDescent="0.25">
      <c r="B67" t="s">
        <v>67</v>
      </c>
      <c r="D67" s="65">
        <f t="shared" si="0"/>
        <v>0.5</v>
      </c>
      <c r="E67"/>
    </row>
    <row r="68" spans="1:28" s="3" customFormat="1" x14ac:dyDescent="0.25">
      <c r="A68"/>
      <c r="B68" t="s">
        <v>73</v>
      </c>
      <c r="C68" t="str">
        <f>COUNTIF(IntSampleTable[Internal2],"")    &amp;     " Blank Cells"</f>
        <v>2 Blank Cells</v>
      </c>
      <c r="D68" s="40" t="str">
        <f>"Total: "&amp; SUBTOTAL(109,IntSampleTable[CalcColumn3])*100 &amp;"%"</f>
        <v>Total: 100%</v>
      </c>
      <c r="E68"/>
      <c r="F68"/>
      <c r="G68"/>
      <c r="I68" s="4"/>
      <c r="J68" s="4"/>
      <c r="K68" s="4"/>
      <c r="L68" s="4"/>
      <c r="M68" s="4"/>
      <c r="N68"/>
      <c r="O68"/>
      <c r="P68"/>
      <c r="Z68"/>
      <c r="AA68"/>
      <c r="AB68"/>
    </row>
    <row r="70" spans="1:28" ht="20.399999999999999" x14ac:dyDescent="0.25">
      <c r="A70" s="3"/>
      <c r="B70" s="122" t="s">
        <v>213</v>
      </c>
      <c r="C70" s="123"/>
      <c r="D70" s="124"/>
      <c r="E70" s="3"/>
      <c r="F70" s="3"/>
      <c r="G70" s="3"/>
      <c r="N70" s="3"/>
      <c r="O70" s="3"/>
      <c r="P70" s="3"/>
    </row>
    <row r="71" spans="1:28" x14ac:dyDescent="0.25">
      <c r="B71" t="s">
        <v>77</v>
      </c>
      <c r="C71" t="s">
        <v>33</v>
      </c>
      <c r="D71" s="40" t="s">
        <v>31</v>
      </c>
    </row>
    <row r="72" spans="1:28" x14ac:dyDescent="0.25">
      <c r="B72" t="s">
        <v>68</v>
      </c>
      <c r="C72" t="s">
        <v>70</v>
      </c>
      <c r="D72" s="41" t="b">
        <f>QuerySampleTable[[#This Row],[QueryColumn2]]  = "Query Value"</f>
        <v>1</v>
      </c>
    </row>
    <row r="73" spans="1:28" x14ac:dyDescent="0.25">
      <c r="B73" t="s">
        <v>69</v>
      </c>
      <c r="C73" t="s">
        <v>71</v>
      </c>
      <c r="D73" s="41" t="b">
        <f>QuerySampleTable[[#This Row],[QueryColumn2]]  = "Query Value"</f>
        <v>0</v>
      </c>
      <c r="E73" s="4"/>
    </row>
    <row r="74" spans="1:28" x14ac:dyDescent="0.25">
      <c r="B74" t="s">
        <v>73</v>
      </c>
      <c r="C74" t="str">
        <f>COUNTIF(QuerySampleTable[QueryColumn2],"* Error")&amp;" Error in Col"</f>
        <v>1 Error in Col</v>
      </c>
      <c r="D74" s="40" t="str">
        <f>IF(_xlfn.XMATCH(FALSE, QuerySampleTable[CalcColumn3],0,1) &gt; 0,  "&gt;0  Falses in Column", "Column Good")</f>
        <v>&gt;0  Falses in Column</v>
      </c>
      <c r="E74" s="4"/>
    </row>
    <row r="75" spans="1:28" s="3" customFormat="1" x14ac:dyDescent="0.25">
      <c r="I75" s="4"/>
      <c r="J75" s="4"/>
      <c r="K75" s="4"/>
      <c r="L75" s="4"/>
      <c r="M75" s="4"/>
    </row>
    <row r="76" spans="1:28" s="3" customFormat="1" ht="20.399999999999999" x14ac:dyDescent="0.25">
      <c r="B76" s="122" t="s">
        <v>225</v>
      </c>
      <c r="C76" s="123"/>
      <c r="D76" s="124"/>
      <c r="I76" s="4"/>
      <c r="J76" s="4"/>
      <c r="K76" s="4"/>
      <c r="L76" s="4"/>
      <c r="M76" s="4"/>
    </row>
    <row r="77" spans="1:28" x14ac:dyDescent="0.25">
      <c r="B77" t="s">
        <v>39</v>
      </c>
      <c r="C77" t="s">
        <v>41</v>
      </c>
      <c r="D77" t="s">
        <v>42</v>
      </c>
      <c r="E77"/>
      <c r="H77"/>
      <c r="I77"/>
      <c r="J77"/>
      <c r="K77"/>
      <c r="L77"/>
      <c r="M77"/>
    </row>
  </sheetData>
  <dataConsolidate/>
  <mergeCells count="7">
    <mergeCell ref="B76:D76"/>
    <mergeCell ref="B64:D64"/>
    <mergeCell ref="B70:D70"/>
    <mergeCell ref="R1:U1"/>
    <mergeCell ref="A1:P1"/>
    <mergeCell ref="B52:E52"/>
    <mergeCell ref="B58:D58"/>
  </mergeCells>
  <phoneticPr fontId="20" type="noConversion"/>
  <conditionalFormatting sqref="S3:S9 S11:S21">
    <cfRule type="expression" dxfId="67" priority="10">
      <formula>S3="BadValue"</formula>
    </cfRule>
  </conditionalFormatting>
  <conditionalFormatting sqref="U3:U21">
    <cfRule type="expression" dxfId="66" priority="9">
      <formula>$S3="BadValue"</formula>
    </cfRule>
  </conditionalFormatting>
  <conditionalFormatting sqref="R3:R21">
    <cfRule type="expression" dxfId="65" priority="3">
      <formula>ISBLANK(R3)</formula>
    </cfRule>
  </conditionalFormatting>
  <conditionalFormatting sqref="C72:C73">
    <cfRule type="expression" dxfId="64" priority="2">
      <formula>C72="Query Error"</formula>
    </cfRule>
  </conditionalFormatting>
  <conditionalFormatting sqref="T3:T21">
    <cfRule type="expression" dxfId="63" priority="15">
      <formula>NOT($W$3)</formula>
    </cfRule>
  </conditionalFormatting>
  <conditionalFormatting sqref="T2">
    <cfRule type="expression" dxfId="62" priority="16">
      <formula>NOT($W$3)</formula>
    </cfRule>
  </conditionalFormatting>
  <dataValidations count="1">
    <dataValidation type="list" allowBlank="1" showInputMessage="1" showErrorMessage="1" sqref="R3:R21 W3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P7"/>
  <sheetViews>
    <sheetView tabSelected="1" zoomScaleNormal="100" workbookViewId="0">
      <selection activeCell="P8" sqref="P8"/>
    </sheetView>
  </sheetViews>
  <sheetFormatPr defaultRowHeight="13.8" x14ac:dyDescent="0.25"/>
  <cols>
    <col min="1" max="1" width="6.296875" bestFit="1" customWidth="1"/>
    <col min="2" max="2" width="6.296875" style="3" customWidth="1"/>
    <col min="3" max="3" width="2.296875" customWidth="1"/>
    <col min="4" max="4" width="5.296875" bestFit="1" customWidth="1"/>
    <col min="5" max="5" width="6.296875" bestFit="1" customWidth="1"/>
    <col min="6" max="6" width="3.69921875" bestFit="1" customWidth="1"/>
    <col min="7" max="7" width="4" customWidth="1"/>
    <col min="8" max="8" width="1.796875" customWidth="1"/>
    <col min="9" max="9" width="7.296875" bestFit="1" customWidth="1"/>
    <col min="10" max="10" width="7.19921875" bestFit="1" customWidth="1"/>
    <col min="11" max="11" width="4.69921875" bestFit="1" customWidth="1"/>
    <col min="12" max="12" width="8" bestFit="1" customWidth="1"/>
    <col min="13" max="13" width="7.69921875" bestFit="1" customWidth="1"/>
    <col min="14" max="14" width="2.796875" customWidth="1"/>
    <col min="15" max="15" width="12" customWidth="1"/>
    <col min="16" max="16" width="2.796875" customWidth="1"/>
  </cols>
  <sheetData>
    <row r="1" spans="1:16" s="3" customFormat="1" ht="20.399999999999999" x14ac:dyDescent="0.25">
      <c r="A1" s="122" t="s">
        <v>208</v>
      </c>
      <c r="B1" s="123"/>
      <c r="C1" s="123"/>
      <c r="D1" s="123"/>
      <c r="E1" s="123"/>
      <c r="F1" s="123"/>
      <c r="G1" s="124"/>
      <c r="I1" s="133" t="s">
        <v>231</v>
      </c>
      <c r="J1" s="134"/>
      <c r="K1" s="134"/>
      <c r="L1" s="134"/>
      <c r="M1" s="134"/>
      <c r="N1" s="135"/>
      <c r="O1" s="135"/>
      <c r="P1" s="135"/>
    </row>
    <row r="2" spans="1:16" x14ac:dyDescent="0.25">
      <c r="A2" s="4" t="s">
        <v>34</v>
      </c>
      <c r="B2" s="4" t="s">
        <v>114</v>
      </c>
      <c r="D2" s="129" t="s">
        <v>209</v>
      </c>
      <c r="E2" s="130"/>
      <c r="F2" s="131" t="s">
        <v>210</v>
      </c>
      <c r="G2" s="132"/>
      <c r="I2" t="s">
        <v>228</v>
      </c>
      <c r="J2" t="s">
        <v>229</v>
      </c>
      <c r="K2" t="s">
        <v>230</v>
      </c>
      <c r="L2" t="s">
        <v>232</v>
      </c>
      <c r="M2" t="s">
        <v>233</v>
      </c>
      <c r="N2" s="135"/>
      <c r="O2" s="135"/>
      <c r="P2" s="135"/>
    </row>
    <row r="3" spans="1:16" x14ac:dyDescent="0.25">
      <c r="A3" s="4" t="b">
        <v>1</v>
      </c>
      <c r="B3" s="4" t="s">
        <v>115</v>
      </c>
      <c r="D3" s="119" t="s">
        <v>35</v>
      </c>
      <c r="E3" s="119" t="s">
        <v>36</v>
      </c>
      <c r="F3" s="119" t="s">
        <v>35</v>
      </c>
      <c r="G3" s="119" t="s">
        <v>36</v>
      </c>
      <c r="I3" s="4">
        <v>16</v>
      </c>
      <c r="J3" s="4">
        <v>11</v>
      </c>
      <c r="K3" s="4">
        <v>11</v>
      </c>
      <c r="L3" s="4" t="b">
        <v>1</v>
      </c>
      <c r="M3" s="4" t="b">
        <v>1</v>
      </c>
      <c r="N3" s="135"/>
      <c r="O3" s="135"/>
      <c r="P3" s="135"/>
    </row>
    <row r="4" spans="1:16" x14ac:dyDescent="0.25">
      <c r="A4" s="4" t="b">
        <v>0</v>
      </c>
      <c r="B4" s="4" t="s">
        <v>116</v>
      </c>
      <c r="D4" s="120" t="b" cm="1">
        <f t="array" aca="1" ref="D4" ca="1">OFFSET( BoolName, 0, 0, 1, 1)</f>
        <v>1</v>
      </c>
      <c r="E4" s="120" t="b" cm="1">
        <f t="array" aca="1" ref="E4" ca="1">OFFSET( BoolName, 1, 0, 1, 1)</f>
        <v>0</v>
      </c>
      <c r="F4" s="120" t="str">
        <f ca="1">OFFSET( YNTable[], 0, 0, 1, 1)</f>
        <v>Yes</v>
      </c>
      <c r="G4" s="120" t="str">
        <f ca="1">OFFSET( YNTable[], 1, 0, 1, 1)</f>
        <v>No</v>
      </c>
    </row>
    <row r="6" spans="1:16" x14ac:dyDescent="0.25">
      <c r="A6" s="4" t="s">
        <v>38</v>
      </c>
      <c r="B6"/>
    </row>
    <row r="7" spans="1:16" x14ac:dyDescent="0.25">
      <c r="A7" s="4" t="s">
        <v>40</v>
      </c>
    </row>
  </sheetData>
  <dataConsolidate/>
  <mergeCells count="5">
    <mergeCell ref="D2:E2"/>
    <mergeCell ref="F2:G2"/>
    <mergeCell ref="A1:G1"/>
    <mergeCell ref="I1:M1"/>
    <mergeCell ref="N1:P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tyleButton">
          <controlPr defaultSize="0" print="0" autoFill="0" autoLine="0" r:id="rId5">
            <anchor moveWithCells="1">
              <from>
                <xdr:col>14</xdr:col>
                <xdr:colOff>0</xdr:colOff>
                <xdr:row>0</xdr:row>
                <xdr:rowOff>152400</xdr:rowOff>
              </from>
              <to>
                <xdr:col>15</xdr:col>
                <xdr:colOff>114300</xdr:colOff>
                <xdr:row>2</xdr:row>
                <xdr:rowOff>76200</xdr:rowOff>
              </to>
            </anchor>
          </controlPr>
        </control>
      </mc:Choice>
      <mc:Fallback>
        <control shapeId="1026" r:id="rId4" name="StyleButton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"/>
  <sheetViews>
    <sheetView zoomScale="130" zoomScaleNormal="130" workbookViewId="0">
      <selection activeCell="J10" sqref="J10"/>
    </sheetView>
  </sheetViews>
  <sheetFormatPr defaultRowHeight="13.8" x14ac:dyDescent="0.25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BoolNo</vt:lpstr>
      <vt:lpstr>BoolYes</vt:lpstr>
      <vt:lpstr>CellFontSize_Override</vt:lpstr>
      <vt:lpstr>CellTypeName</vt:lpstr>
      <vt:lpstr>HeaderFontSize_Override</vt:lpstr>
      <vt:lpstr>LNF</vt:lpstr>
      <vt:lpstr>SetsFormat_Override</vt:lpstr>
      <vt:lpstr>TitleFontSize_Override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Ryan Taylor</dc:creator>
  <cp:keywords/>
  <dc:description>Created from Styled Workbook v2.6.2_x000d_
Macro-Enabled_x000d_
</dc:description>
  <cp:lastModifiedBy>Ryan Taylor</cp:lastModifiedBy>
  <dcterms:created xsi:type="dcterms:W3CDTF">2021-01-25T07:04:48Z</dcterms:created>
  <dcterms:modified xsi:type="dcterms:W3CDTF">2021-06-29T11:27:29Z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lpwstr/>
  </property>
</Properties>
</file>