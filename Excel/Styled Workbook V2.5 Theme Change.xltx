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13_ncr:1_{944D5DFE-917C-4640-9912-B74C9B92C3F2}" xr6:coauthVersionLast="46" xr6:coauthVersionMax="46" xr10:uidLastSave="{00000000-0000-0000-0000-000000000000}"/>
  <bookViews>
    <workbookView xWindow="-26192" yWindow="-109" windowWidth="26301" windowHeight="14889" xr2:uid="{D099C927-7E7A-4799-8725-69E24790C988}"/>
  </bookViews>
  <sheets>
    <sheet name="Key" sheetId="1" r:id="rId1"/>
    <sheet name="List" sheetId="2" r:id="rId2"/>
    <sheet name="Sheet1" sheetId="3" r:id="rId3"/>
  </sheets>
  <definedNames>
    <definedName name="BoolName">BoolTable[Bool]</definedName>
    <definedName name="BoolNo">BoolValueTable[N]</definedName>
    <definedName name="BoolYes">BoolValueTable[Y]</definedName>
    <definedName name="CellTypeName">KeyTable[Cell Name]</definedName>
    <definedName name="LNF" comment="Lookup Not Found">LNFTable[LNF]</definedName>
    <definedName name="TypeNoteName">_xlfn.UNIQUE(KeyTable[Typing Notes])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eyTable_819bfb76-0bdf-47c6-8fb9-3655f7c737f7" name="KeyTable" connection="Query - KeyTable"/>
          <x15:modelTable id="Colors_355ea822-8862-414c-b286-5aefc0c7b50c" name="Colors" connection="Query - Color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3" i="1" l="1"/>
  <c r="D51" i="1" s="1"/>
  <c r="D56" i="1"/>
  <c r="D57" i="1"/>
  <c r="C58" i="1"/>
  <c r="D46" i="1"/>
  <c r="D47" i="1"/>
  <c r="D58" i="1" l="1"/>
  <c r="D48" i="1"/>
  <c r="D52" i="1"/>
  <c r="D53" i="1" s="1"/>
  <c r="D3" i="2" a="1"/>
  <c r="D3" i="2" s="1"/>
  <c r="C3" i="2" a="1"/>
  <c r="C3" i="2" s="1"/>
  <c r="N3" i="1" l="1" a="1"/>
  <c r="N3" i="1" s="1"/>
  <c r="N9" i="1" a="1"/>
  <c r="N9" i="1" s="1"/>
  <c r="N15" i="1" a="1"/>
  <c r="N15" i="1" s="1"/>
  <c r="N21" i="1" a="1"/>
  <c r="N21" i="1" s="1"/>
  <c r="N4" i="1" a="1"/>
  <c r="N4" i="1" s="1"/>
  <c r="N10" i="1" a="1"/>
  <c r="N10" i="1" s="1"/>
  <c r="N16" i="1" a="1"/>
  <c r="N16" i="1" s="1"/>
  <c r="N5" i="1" a="1"/>
  <c r="N5" i="1" s="1"/>
  <c r="N11" i="1" a="1"/>
  <c r="N11" i="1" s="1"/>
  <c r="N17" i="1" a="1"/>
  <c r="N17" i="1" s="1"/>
  <c r="N13" i="1" a="1"/>
  <c r="N13" i="1" s="1"/>
  <c r="N14" i="1" a="1"/>
  <c r="N14" i="1" s="1"/>
  <c r="N6" i="1" a="1"/>
  <c r="N6" i="1" s="1"/>
  <c r="N18" i="1" a="1"/>
  <c r="N18" i="1" s="1"/>
  <c r="N7" i="1" a="1"/>
  <c r="N7" i="1" s="1"/>
  <c r="N19" i="1" a="1"/>
  <c r="N19" i="1" s="1"/>
  <c r="N20" i="1" a="1"/>
  <c r="N20" i="1" s="1"/>
  <c r="N12" i="1" a="1"/>
  <c r="N12" i="1" s="1"/>
  <c r="N8" i="1" a="1"/>
  <c r="N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04DED9-929A-4177-B546-E5E997B1C552}" name="Query - Colors" description="Connection to the 'Colors' query in the workbook." type="100" refreshedVersion="6" minRefreshableVersion="5">
    <extLst>
      <ext xmlns:x15="http://schemas.microsoft.com/office/spreadsheetml/2010/11/main" uri="{DE250136-89BD-433C-8126-D09CA5730AF9}">
        <x15:connection id="2008d000-311e-4cb5-a872-ab756b7770e2"/>
      </ext>
    </extLst>
  </connection>
  <connection id="2" xr16:uid="{BF9FDC21-61A2-4F21-900C-228B47ACC0CF}" name="Query - KeyTable" description="Connection to the 'KeyTable' query in the workbook." type="100" refreshedVersion="6" minRefreshableVersion="5">
    <extLst>
      <ext xmlns:x15="http://schemas.microsoft.com/office/spreadsheetml/2010/11/main" uri="{DE250136-89BD-433C-8126-D09CA5730AF9}">
        <x15:connection id="f7e82c45-a653-44ae-9dda-6720185fb635"/>
      </ext>
    </extLst>
  </connection>
  <connection id="3" xr16:uid="{E778838B-A98B-4698-9FD0-E6913B33E26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<sst xmlns="http://schemas.openxmlformats.org/spreadsheetml/2006/main" count="292" uniqueCount="144">
  <si>
    <t>Table Color Explanations</t>
  </si>
  <si>
    <t>Cell Name</t>
  </si>
  <si>
    <t>Where Used</t>
  </si>
  <si>
    <t>Typing Notes</t>
  </si>
  <si>
    <t>Warnings</t>
  </si>
  <si>
    <t>BgColor</t>
  </si>
  <si>
    <t>TxColor</t>
  </si>
  <si>
    <t>PtColor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</si>
  <si>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</si>
  <si>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</si>
  <si>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</si>
  <si>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</si>
  <si>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</si>
  <si>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</si>
  <si>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</si>
  <si>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</si>
  <si>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</si>
  <si>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</si>
  <si>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</si>
  <si>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</si>
  <si>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</si>
  <si>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</si>
  <si>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</si>
  <si>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</si>
  <si>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</si>
  <si>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</si>
  <si>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</si>
  <si>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</si>
  <si>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</si>
  <si>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</si>
  <si>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</si>
  <si>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</si>
  <si>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</si>
  <si>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</si>
  <si>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InputColumn2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</si>
  <si>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</si>
  <si>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</si>
  <si>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</si>
  <si>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</si>
  <si>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</si>
  <si>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</si>
  <si>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</si>
  <si>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BoolValues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</si>
  <si>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</si>
  <si>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</si>
  <si>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</si>
  <si>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</si>
  <si>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</si>
  <si>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</si>
  <si>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</si>
  <si>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</si>
  <si>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</si>
  <si>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</si>
  <si>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</si>
  <si>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</si>
  <si>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</si>
  <si>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</si>
  <si>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</si>
  <si>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</si>
  <si>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</si>
  <si>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</si>
  <si>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</si>
  <si>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</si>
  <si>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</si>
  <si>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InputKey1</t>
  </si>
  <si>
    <t>Standard Text</t>
  </si>
  <si>
    <t>Tight Text</t>
  </si>
  <si>
    <t>#0563C1 B,UL OCRB 11pt</t>
  </si>
  <si>
    <t>Normal</t>
  </si>
  <si>
    <t>xCond</t>
  </si>
  <si>
    <t>#954F72 B,UL OCRB 11pt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</si>
  <si>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</si>
  <si>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</si>
  <si>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</si>
  <si>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</si>
  <si>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</si>
  <si>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</si>
  <si>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</si>
  <si>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</si>
  <si>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</si>
  <si>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</si>
  <si>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</si>
  <si>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</si>
  <si>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</si>
  <si>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</si>
  <si>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</si>
  <si>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</si>
  <si>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</si>
  <si>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</si>
  <si>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</si>
  <si>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</si>
  <si>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</si>
  <si>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</si>
  <si>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</si>
  <si>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</si>
  <si>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</si>
  <si>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</si>
  <si>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</si>
  <si>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</si>
  <si>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</si>
  <si>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</si>
  <si>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</si>
  <si>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</si>
  <si>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</si>
  <si>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</si>
  <si>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A1D50</t>
  </si>
  <si>
    <t>A1L40</t>
  </si>
  <si>
    <t>T1L35</t>
  </si>
  <si>
    <t>B1L40</t>
  </si>
  <si>
    <t>T1</t>
  </si>
  <si>
    <t>B1D25</t>
  </si>
  <si>
    <t>T2</t>
  </si>
  <si>
    <t>Deactivated Key Header</t>
  </si>
  <si>
    <t>Deactivated Cell</t>
  </si>
  <si>
    <t>A4L80</t>
  </si>
  <si>
    <t>A6L80</t>
  </si>
  <si>
    <t>Active Disabled</t>
  </si>
  <si>
    <t>T1L50</t>
  </si>
  <si>
    <t>B1D50</t>
  </si>
  <si>
    <t>B1</t>
  </si>
  <si>
    <t>A5L80</t>
  </si>
  <si>
    <t>A3L80</t>
  </si>
  <si>
    <t>T2L80</t>
  </si>
  <si>
    <t>A4D50</t>
  </si>
  <si>
    <t>A6D50</t>
  </si>
  <si>
    <t>A5D50</t>
  </si>
  <si>
    <t>A3D50</t>
  </si>
  <si>
    <t>OCRB</t>
  </si>
  <si>
    <t>A4</t>
  </si>
  <si>
    <t>A1L80</t>
  </si>
  <si>
    <t>A3</t>
  </si>
  <si>
    <t>Box D/V</t>
  </si>
  <si>
    <t>A1</t>
  </si>
  <si>
    <t>Query D/V</t>
  </si>
  <si>
    <t>Input D/V</t>
  </si>
  <si>
    <t>Error D/V</t>
  </si>
  <si>
    <t>A5</t>
  </si>
  <si>
    <t>A6</t>
  </si>
  <si>
    <t>Internal D/V</t>
  </si>
  <si>
    <t>Calculated D/V</t>
  </si>
  <si>
    <t>B2D25</t>
  </si>
  <si>
    <t>Calculated Key Header</t>
  </si>
  <si>
    <t>Cell will contain a formula or header</t>
  </si>
  <si>
    <t>B1L60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</si>
</sst>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3" x14ac:knownFonts="1">
    <font>
      <sz val="11"/>
      <color theme="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4" tint="0.59999389629810485"/>
      <name val="OCRB"/>
      <family val="3"/>
    </font>
    <font>
      <sz val="11"/>
      <color theme="3"/>
      <name val="OCRB"/>
      <family val="3"/>
    </font>
    <font>
      <sz val="11"/>
      <color theme="0" tint="0.59999389629810485"/>
      <name val="Bahnschrift"/>
      <family val="2"/>
      <scheme val="major"/>
    </font>
  </fonts>
  <fills count="7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darkDown">
        <fgColor theme="3"/>
        <bgColor theme="1" tint="0.34998626667073579"/>
      </patternFill>
    </fill>
    <fill>
      <patternFill patternType="darkDown">
        <fgColor theme="0"/>
        <bgColor theme="0" tint="-0.249977111117893"/>
      </patternFill>
    </fill>
    <fill>
      <patternFill patternType="darkDown">
        <fgColor theme="8" tint="0.59996337778862885"/>
        <b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6" tint="0.79998168889431442"/>
        <bgColor theme="6" tint="0.59996337778862885"/>
      </patternFill>
    </fill>
    <fill>
      <patternFill patternType="darkDown">
        <fgColor theme="9" tint="0.79998168889431442"/>
        <bgColor theme="9" tint="0.39994506668294322"/>
      </patternFill>
    </fill>
    <fill>
      <patternFill patternType="darkDown">
        <fgColor theme="7"/>
        <bgColor theme="7" tint="0.79998168889431442"/>
      </patternFill>
    </fill>
    <fill>
      <patternFill patternType="darkDown">
        <fgColor theme="3"/>
        <bgColor theme="3"/>
      </patternFill>
    </fill>
    <fill>
      <patternFill patternType="darkDown">
        <fgColor theme="0"/>
        <bgColor theme="0"/>
      </patternFill>
    </fill>
    <fill>
      <patternFill patternType="solid">
        <fgColor theme="7"/>
        <bgColor indexed="64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6"/>
        <bgColor auto="1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3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3">
    <xf numFmtId="0" fontId="0" fillId="0" borderId="0" applyNumberFormat="0" applyFill="0" applyBorder="0" applyAlignment="0" applyProtection="0"/>
    <xf numFmtId="0" fontId="38" fillId="51" borderId="1" applyNumberFormat="0">
      <alignment horizontal="center" vertical="center"/>
    </xf>
    <xf numFmtId="0" fontId="21" fillId="4" borderId="1" applyNumberFormat="0" applyFont="0" applyBorder="0" applyAlignment="0"/>
    <xf numFmtId="0" fontId="21" fillId="5" borderId="1" applyNumberFormat="0" applyBorder="0" applyAlignment="0"/>
    <xf numFmtId="0" fontId="33" fillId="56" borderId="1" applyNumberFormat="0" applyAlignment="0"/>
    <xf numFmtId="0" fontId="21" fillId="54" borderId="1" applyNumberFormat="0" applyAlignment="0"/>
    <xf numFmtId="0" fontId="21" fillId="55" borderId="1" applyNumberFormat="0" applyAlignment="0"/>
    <xf numFmtId="0" fontId="24" fillId="48" borderId="1" applyNumberFormat="0" applyBorder="0" applyAlignment="0"/>
    <xf numFmtId="0" fontId="1" fillId="6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10" applyNumberFormat="0" applyAlignment="0" applyProtection="0"/>
    <xf numFmtId="0" fontId="12" fillId="11" borderId="11" applyNumberFormat="0" applyAlignment="0" applyProtection="0"/>
    <xf numFmtId="0" fontId="13" fillId="11" borderId="10" applyNumberFormat="0" applyAlignment="0" applyProtection="0"/>
    <xf numFmtId="0" fontId="14" fillId="0" borderId="12" applyNumberFormat="0" applyFill="0" applyAlignment="0" applyProtection="0"/>
    <xf numFmtId="0" fontId="15" fillId="12" borderId="13" applyNumberFormat="0" applyAlignment="0" applyProtection="0"/>
    <xf numFmtId="0" fontId="16" fillId="0" borderId="0" applyNumberFormat="0" applyFill="0" applyBorder="0" applyAlignment="0" applyProtection="0"/>
    <xf numFmtId="0" fontId="3" fillId="13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9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9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9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9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9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35" fillId="58" borderId="1" applyNumberFormat="0" applyAlignment="0">
      <protection locked="0"/>
    </xf>
    <xf numFmtId="0" fontId="24" fillId="49" borderId="1" applyNumberFormat="0" applyBorder="0" applyAlignment="0"/>
    <xf numFmtId="0" fontId="22" fillId="0" borderId="0" applyNumberFormat="0" applyFill="0" applyBorder="0" applyAlignment="0" applyProtection="0"/>
    <xf numFmtId="0" fontId="30" fillId="52" borderId="1" applyNumberFormat="0">
      <alignment horizontal="center" vertical="center"/>
    </xf>
    <xf numFmtId="0" fontId="32" fillId="50" borderId="0"/>
    <xf numFmtId="0" fontId="21" fillId="38" borderId="1" applyNumberFormat="0" applyAlignment="0"/>
    <xf numFmtId="0" fontId="3" fillId="6" borderId="1" applyFill="0" applyBorder="0" applyAlignment="0" applyProtection="0"/>
  </cellStyleXfs>
  <cellXfs count="62">
    <xf numFmtId="0" fontId="0" fillId="0" borderId="0" xfId="0"/>
    <xf numFmtId="0" fontId="31" fillId="53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38" fillId="51" borderId="5" xfId="1" applyBorder="1" applyAlignment="1">
      <alignment horizontal="center"/>
    </xf>
    <xf numFmtId="0" fontId="0" fillId="0" borderId="0" xfId="0" applyAlignment="1">
      <alignment horizontal="center"/>
    </xf>
    <xf numFmtId="0" fontId="38" fillId="51" borderId="1" xfId="1">
      <alignment horizontal="center" vertical="center"/>
    </xf>
    <xf numFmtId="0" fontId="1" fillId="0" borderId="6" xfId="8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6" xfId="0" applyBorder="1" applyAlignment="1">
      <alignment horizontal="center"/>
    </xf>
    <xf numFmtId="0" fontId="1" fillId="0" borderId="5" xfId="8" applyFill="1" applyBorder="1" applyAlignment="1">
      <alignment horizontal="center"/>
    </xf>
    <xf numFmtId="0" fontId="1" fillId="0" borderId="16" xfId="8" applyFill="1" applyBorder="1" applyAlignment="1">
      <alignment horizontal="center"/>
    </xf>
    <xf numFmtId="0" fontId="23" fillId="0" borderId="5" xfId="9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22" fillId="0" borderId="5" xfId="58" applyFill="1" applyBorder="1" applyAlignment="1">
      <alignment horizontal="center"/>
    </xf>
    <xf numFmtId="0" fontId="21" fillId="0" borderId="1" xfId="0" applyFont="1" applyFill="1" applyBorder="1"/>
    <xf numFmtId="0" fontId="1" fillId="0" borderId="1" xfId="8" applyFill="1" applyBorder="1" applyAlignment="1">
      <alignment horizontal="center"/>
    </xf>
    <xf numFmtId="0" fontId="21" fillId="41" borderId="0" xfId="0" applyFont="1" applyFill="1"/>
    <xf numFmtId="0" fontId="21" fillId="42" borderId="0" xfId="0" applyFont="1" applyFill="1"/>
    <xf numFmtId="0" fontId="21" fillId="43" borderId="1" xfId="0" applyNumberFormat="1" applyFont="1" applyFill="1" applyBorder="1" applyProtection="1">
      <protection locked="0"/>
    </xf>
    <xf numFmtId="0" fontId="25" fillId="44" borderId="1" xfId="0" applyFont="1" applyFill="1" applyBorder="1"/>
    <xf numFmtId="0" fontId="26" fillId="40" borderId="0" xfId="0" applyFont="1" applyFill="1"/>
    <xf numFmtId="0" fontId="21" fillId="45" borderId="1" xfId="0" applyFont="1" applyFill="1" applyBorder="1"/>
    <xf numFmtId="0" fontId="21" fillId="3" borderId="1" xfId="0" applyFont="1" applyFill="1" applyBorder="1"/>
    <xf numFmtId="0" fontId="27" fillId="46" borderId="1" xfId="0" applyFont="1" applyFill="1" applyBorder="1"/>
    <xf numFmtId="0" fontId="21" fillId="47" borderId="1" xfId="2" applyFont="1" applyFill="1"/>
    <xf numFmtId="0" fontId="28" fillId="39" borderId="0" xfId="0" applyFont="1" applyFill="1"/>
    <xf numFmtId="0" fontId="35" fillId="58" borderId="1" xfId="56">
      <protection locked="0"/>
    </xf>
    <xf numFmtId="0" fontId="0" fillId="0" borderId="16" xfId="0" applyBorder="1" applyAlignment="1">
      <alignment horizontal="center"/>
    </xf>
    <xf numFmtId="0" fontId="21" fillId="54" borderId="1" xfId="5"/>
    <xf numFmtId="0" fontId="32" fillId="50" borderId="0" xfId="60"/>
    <xf numFmtId="0" fontId="33" fillId="56" borderId="1" xfId="4"/>
    <xf numFmtId="0" fontId="21" fillId="38" borderId="1" xfId="61"/>
    <xf numFmtId="0" fontId="21" fillId="55" borderId="1" xfId="6"/>
    <xf numFmtId="0" fontId="34" fillId="57" borderId="0" xfId="0" applyFont="1" applyFill="1"/>
    <xf numFmtId="0" fontId="24" fillId="59" borderId="0" xfId="0" applyFont="1" applyFill="1"/>
    <xf numFmtId="0" fontId="1" fillId="0" borderId="0" xfId="8" applyFill="1" applyBorder="1" applyAlignment="1">
      <alignment horizontal="center"/>
    </xf>
    <xf numFmtId="0" fontId="3" fillId="0" borderId="0" xfId="62" applyFill="1" applyBorder="1" applyAlignment="1">
      <alignment horizontal="left"/>
    </xf>
    <xf numFmtId="0" fontId="3" fillId="0" borderId="0" xfId="62" applyFill="1" applyBorder="1"/>
    <xf numFmtId="0" fontId="24" fillId="60" borderId="0" xfId="0" applyFont="1" applyFill="1"/>
    <xf numFmtId="0" fontId="38" fillId="51" borderId="2" xfId="1" applyBorder="1" applyAlignment="1">
      <alignment horizontal="center"/>
    </xf>
    <xf numFmtId="0" fontId="38" fillId="51" borderId="3" xfId="1" applyBorder="1" applyAlignment="1">
      <alignment horizontal="center"/>
    </xf>
    <xf numFmtId="0" fontId="38" fillId="51" borderId="4" xfId="1" applyBorder="1" applyAlignment="1">
      <alignment horizontal="center"/>
    </xf>
    <xf numFmtId="0" fontId="38" fillId="51" borderId="1" xfId="1">
      <alignment horizontal="center" vertical="center"/>
    </xf>
    <xf numFmtId="0" fontId="36" fillId="39" borderId="1" xfId="0" applyFont="1" applyFill="1" applyBorder="1"/>
    <xf numFmtId="0" fontId="37" fillId="62" borderId="0" xfId="0" applyFont="1" applyFill="1"/>
    <xf numFmtId="0" fontId="38" fillId="51" borderId="1" xfId="1" applyNumberFormat="1" applyAlignment="1">
      <alignment horizontal="left" vertical="center"/>
    </xf>
    <xf numFmtId="168" fontId="3" fillId="61" borderId="0" xfId="0" applyNumberFormat="1" applyFont="1" applyFill="1" applyAlignment="1">
      <alignment horizontal="left"/>
    </xf>
    <xf numFmtId="0" fontId="39" fillId="52" borderId="1" xfId="59" applyFont="1" applyAlignment="1">
      <alignment horizontal="left" vertical="center"/>
    </xf>
    <xf numFmtId="0" fontId="3" fillId="63" borderId="0" xfId="0" applyFont="1" applyFill="1"/>
    <xf numFmtId="0" fontId="40" fillId="64" borderId="1" xfId="1" applyNumberFormat="1" applyFont="1" applyFill="1" applyAlignment="1">
      <alignment horizontal="left" vertical="center"/>
    </xf>
    <xf numFmtId="0" fontId="21" fillId="65" borderId="1" xfId="3" applyFont="1" applyFill="1"/>
    <xf numFmtId="0" fontId="21" fillId="5" borderId="1" xfId="0" applyFont="1" applyFill="1" applyBorder="1"/>
    <xf numFmtId="0" fontId="3" fillId="4" borderId="1" xfId="2" applyFont="1" applyFill="1"/>
    <xf numFmtId="0" fontId="21" fillId="66" borderId="1" xfId="0" applyFont="1" applyFill="1" applyBorder="1"/>
    <xf numFmtId="0" fontId="3" fillId="2" borderId="1" xfId="0" applyFont="1" applyFill="1" applyBorder="1"/>
    <xf numFmtId="0" fontId="29" fillId="68" borderId="0" xfId="0" applyNumberFormat="1" applyFont="1" applyFill="1"/>
    <xf numFmtId="0" fontId="41" fillId="67" borderId="0" xfId="0" applyFont="1" applyFill="1"/>
    <xf numFmtId="0" fontId="3" fillId="0" borderId="0" xfId="62" applyFill="1" applyBorder="1" applyAlignment="1">
      <alignment horizontal="center"/>
    </xf>
    <xf numFmtId="0" fontId="42" fillId="69" borderId="0" xfId="0" applyFont="1" applyFill="1" applyBorder="1"/>
  </cellXfs>
  <cellStyles count="63">
    <cellStyle name="20% - Accent1" xfId="33" builtinId="30" hidden="1"/>
    <cellStyle name="20% - Accent2" xfId="37" builtinId="34" hidden="1"/>
    <cellStyle name="20% - Accent3" xfId="41" builtinId="38" hidden="1"/>
    <cellStyle name="20% - Accent4" xfId="45" builtinId="42" hidden="1"/>
    <cellStyle name="20% - Accent5" xfId="49" builtinId="46" hidden="1"/>
    <cellStyle name="20% - Accent6" xfId="53" builtinId="50" hidden="1"/>
    <cellStyle name="40% - Accent1" xfId="34" builtinId="31" hidden="1"/>
    <cellStyle name="40% - Accent2" xfId="38" builtinId="35" hidden="1"/>
    <cellStyle name="40% - Accent3" xfId="42" builtinId="39" hidden="1"/>
    <cellStyle name="40% - Accent4" xfId="46" builtinId="43" hidden="1"/>
    <cellStyle name="40% - Accent5" xfId="50" builtinId="47" hidden="1"/>
    <cellStyle name="40% - Accent6" xfId="54" builtinId="51" hidden="1"/>
    <cellStyle name="60% - Accent1" xfId="35" builtinId="32" hidden="1"/>
    <cellStyle name="60% - Accent2" xfId="39" builtinId="36" hidden="1"/>
    <cellStyle name="60% - Accent3" xfId="43" builtinId="40" hidden="1"/>
    <cellStyle name="60% - Accent4" xfId="47" builtinId="44" hidden="1"/>
    <cellStyle name="60% - Accent5" xfId="51" builtinId="48" hidden="1"/>
    <cellStyle name="60% - Accent6" xfId="55" builtinId="52" hidden="1"/>
    <cellStyle name="Accent1" xfId="32" builtinId="29" hidden="1"/>
    <cellStyle name="Accent2" xfId="36" builtinId="33" hidden="1"/>
    <cellStyle name="Accent3" xfId="40" builtinId="37" hidden="1"/>
    <cellStyle name="Accent4" xfId="44" builtinId="41" hidden="1"/>
    <cellStyle name="Accent5" xfId="48" builtinId="45" hidden="1"/>
    <cellStyle name="Accent6" xfId="52" builtinId="49" hidden="1"/>
    <cellStyle name="Bad" xfId="21" builtinId="27" hidden="1"/>
    <cellStyle name="BoxCell" xfId="59" xr:uid="{D43808C8-F038-4490-8CE9-0480AA97F3F5}"/>
    <cellStyle name="BoxHead" xfId="1" xr:uid="{8F79BBCC-ABBB-4F60-8241-82066CA74206}"/>
    <cellStyle name="Calculation" xfId="25" builtinId="22" hidden="1"/>
    <cellStyle name="Check Cell" xfId="27" builtinId="23" hidden="1"/>
    <cellStyle name="Comma" xfId="10" builtinId="3" hidden="1"/>
    <cellStyle name="Comma [0]" xfId="11" builtinId="6" hidden="1"/>
    <cellStyle name="Currency" xfId="12" builtinId="4" hidden="1"/>
    <cellStyle name="Currency [0]" xfId="13" builtinId="7" hidden="1"/>
    <cellStyle name="DeactCell" xfId="57" xr:uid="{16D0B9C7-E8C4-4AAF-BC6D-5A5CF544DCA8}"/>
    <cellStyle name="DeactHead" xfId="7" xr:uid="{E666C931-D157-4F0B-BB21-71AF835FE0EB}"/>
    <cellStyle name="Explanatory Text" xfId="30" builtinId="53" hidden="1"/>
    <cellStyle name="Followed Hyperlink" xfId="58" builtinId="9" customBuiltin="1"/>
    <cellStyle name="Good" xfId="20" builtinId="26" hidden="1"/>
    <cellStyle name="GoodData" xfId="60" xr:uid="{D5500846-3D86-40D6-83BB-18E39AB5993C}"/>
    <cellStyle name="Heading 1" xfId="16" builtinId="16" hidden="1"/>
    <cellStyle name="Heading 2" xfId="17" builtinId="17" hidden="1"/>
    <cellStyle name="Heading 3" xfId="18" builtinId="18" hidden="1"/>
    <cellStyle name="Heading 4" xfId="19" builtinId="19" hidden="1"/>
    <cellStyle name="Hyperlink" xfId="9" builtinId="8" customBuiltin="1"/>
    <cellStyle name="Input" xfId="23" builtinId="20" hidden="1"/>
    <cellStyle name="Linked Cell" xfId="26" builtinId="24" hidden="1"/>
    <cellStyle name="MissActive" xfId="56" xr:uid="{76A0CC19-A8A9-49D9-9C7E-4FB10BEFD807}"/>
    <cellStyle name="NegActive" xfId="4" xr:uid="{4211BEB3-257F-4AFC-B012-117F6FEB191E}"/>
    <cellStyle name="NegCell" xfId="6" xr:uid="{016058B1-D891-44D1-ADFE-9E41A0F4B836}"/>
    <cellStyle name="NegHead" xfId="5" xr:uid="{16834117-603C-411D-B040-6942A80249D1}"/>
    <cellStyle name="NegKey" xfId="61" xr:uid="{DBD71AB8-044D-44DA-BCB6-752026B7FA17}"/>
    <cellStyle name="Neutral" xfId="22" builtinId="28" hidden="1"/>
    <cellStyle name="Normal" xfId="0" builtinId="0" customBuiltin="1"/>
    <cellStyle name="Note" xfId="29" builtinId="10" hidden="1"/>
    <cellStyle name="Output" xfId="24" builtinId="21" hidden="1"/>
    <cellStyle name="Percent" xfId="14" builtinId="5" hidden="1"/>
    <cellStyle name="QueryCell" xfId="3" xr:uid="{FC3B1675-F142-4CA3-A614-D2E60A4010B4}"/>
    <cellStyle name="QueryHead" xfId="2" xr:uid="{116C7678-05E8-42BB-AC20-EA5CBE7F77FD}"/>
    <cellStyle name="Title" xfId="15" builtinId="15" hidden="1"/>
    <cellStyle name="Total" xfId="31" builtinId="25" hidden="1"/>
    <cellStyle name="Warning Text" xfId="28" builtinId="11" hidden="1"/>
    <cellStyle name="xCond" xfId="8" xr:uid="{1EBEEB1F-2D52-4967-A6BA-433C81E5818A}"/>
    <cellStyle name="xMono" xfId="62" xr:uid="{9E5F097F-D5C9-4CB8-BD12-CC4B6DCF8D5B}"/>
  </cellStyles>
  <dxfs count="6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ont>
        <color theme="0" tint="-0.499984740745262"/>
      </font>
      <fill>
        <patternFill>
          <bgColor rgb="FF595959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strike val="0"/>
      </font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Bahnschrift"/>
        <family val="2"/>
        <scheme val="major"/>
      </font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5" tint="0.79998168889431442"/>
      </font>
      <fill>
        <patternFill>
          <bgColor theme="7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59996337778862885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5" defaultTableStyle="Input Table" defaultPivotStyle="PivotStyleLight16">
    <tableStyle name="Box Table" pivot="0" count="2" xr9:uid="{43492D81-139C-4801-B77F-EB1AE67A0441}">
      <tableStyleElement type="wholeTable" dxfId="63"/>
      <tableStyleElement type="headerRow" dxfId="62"/>
    </tableStyle>
    <tableStyle name="CalcSlicer" pivot="0" table="0" count="10" xr9:uid="{9002A90B-8162-4C0D-AC0E-75A79C394F31}">
      <tableStyleElement type="wholeTable" dxfId="61"/>
      <tableStyleElement type="headerRow" dxfId="60"/>
    </tableStyle>
    <tableStyle name="Input Table" pivot="0" count="9" xr9:uid="{36743DE1-D665-4C00-AC30-E26EBCC4EB5F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HeaderCell" dxfId="54"/>
      <tableStyleElement type="lastHeaderCell" dxfId="53"/>
      <tableStyleElement type="firstTotalCell" dxfId="52"/>
      <tableStyleElement type="lastTotalCell" dxfId="51"/>
    </tableStyle>
    <tableStyle name="Internal Table" pivot="0" count="9" xr9:uid="{6569D68B-D61A-4EB6-98F4-826733CFF175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HeaderCell" dxfId="12"/>
      <tableStyleElement type="lastHeaderCell" dxfId="11"/>
      <tableStyleElement type="firstTotalCell" dxfId="10"/>
      <tableStyleElement type="lastTotalCell" dxfId="9"/>
    </tableStyle>
    <tableStyle name="Lookup Table" pivot="0" count="9" xr9:uid="{92DC973F-2E49-44AB-8564-A6325BEF3F08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HeaderCell" dxfId="42"/>
      <tableStyleElement type="lastHeaderCell" dxfId="41"/>
      <tableStyleElement type="firstTotalCell" dxfId="40"/>
      <tableStyleElement type="lastTotalCell" dxfId="39"/>
    </tableStyle>
  </tableStyles>
  <colors>
    <mruColors>
      <color rgb="FF00CCFF"/>
      <color rgb="FF3366FF"/>
      <color rgb="FF279AF9"/>
      <color rgb="FFFF5050"/>
      <color rgb="FF954F72"/>
      <color rgb="FFFFFFFF"/>
      <color rgb="FFFFC441"/>
      <color rgb="FFE8B100"/>
      <color rgb="FFE89000"/>
      <color rgb="FFFFDF79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openxmlformats.org/officeDocument/2006/relationships/powerPivotData" Target="model/item.data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I37" headerRowDxfId="38" tableBorderDxfId="37">
  <autoFilter ref="A2:I37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510F896-ED24-48B1-853C-CE27DC687EBA}" name="Cell Name" totalsRowLabel="Total" dataDxfId="36"/>
    <tableColumn id="2" xr3:uid="{0182BED1-E3D2-4DEB-953E-8E38866A31B4}" name="Where Used" totalsRowDxfId="35"/>
    <tableColumn id="3" xr3:uid="{082CA2D3-D449-4334-ABBC-3004106AE17C}" name="Typing Notes" totalsRowDxfId="34"/>
    <tableColumn id="4" xr3:uid="{92100948-EB97-4C9C-AE01-5AAF25B33FF0}" name="Warnings" totalsRowDxfId="33"/>
    <tableColumn id="8" xr3:uid="{FE911691-39D8-4FCA-87BD-860F1AF985E7}" name="Fmt Notes" totalsRowFunction="count" totalsRowDxfId="32"/>
    <tableColumn id="9" xr3:uid="{CE3315A9-50D7-48B0-AF31-C9CD9A22FA82}" name="Font" totalsRowDxfId="31"/>
    <tableColumn id="5" xr3:uid="{1A92A71A-B8D8-4E67-AA62-A7FBCC1FE379}" name="BgColor" dataDxfId="1" totalsRowDxfId="30" dataCellStyle="xMono"/>
    <tableColumn id="6" xr3:uid="{EFD2E2AD-E61D-4C56-840F-FE3C98D90394}" name="TxColor" dataDxfId="0" totalsRowDxfId="29" dataCellStyle="xMono"/>
    <tableColumn id="7" xr3:uid="{C684879A-C650-41BE-98B2-794B0C7F0BDB}" name="PtColor" totalsRowDxfId="28" dataCellStyle="xMono"/>
  </tableColumns>
  <tableStyleInfo name="Internal 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InputSampleTable" displayName="InputSampleTable" ref="B45:D48" totalsRowCount="1">
  <autoFilter ref="B45:D47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InputKey1" totalsRowLabel="Total:"/>
    <tableColumn id="2" xr3:uid="{DCE6931E-FD68-454D-B8F5-598B8C5204E0}" name="InputColumn2"/>
    <tableColumn id="3" xr3:uid="{25890384-CE26-44FC-950D-70BA221CC229}" name="CalcColumn3" totalsRowFunction="custom">
      <calculatedColumnFormula>RIGHT(InputSampleTable[[#This Row],[InputColumn2]],5)</calculatedColumnFormula>
      <totalsRowFormula>COUNTIF(InputSampleTable[CalcColumn3], "Value") &amp; " Value in Column"</totalsRowFormula>
    </tableColumn>
  </tableColumns>
  <tableStyleInfo name="Input Table" showFirstColumn="1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50:D53" totalsRowCount="1">
  <autoFilter ref="B50:D52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>
      <totalsRowFormula>COUNTIF(IntSampleTable[Internal2],"")    &amp;     " Blank Cells"</totalsRowFormula>
    </tableColumn>
    <tableColumn id="3" xr3:uid="{7DB48570-446A-440E-A32C-08BEF00880AA}" name="CalcColumn3" totalsRowFunction="custom">
      <calculatedColumnFormula>1 /  VALUE(LEFT($C$53,1))</calculatedColumnFormula>
      <totalsRowFormula>"Total: "&amp; SUBTOTAL(109,IntSampleTable[CalcColumn3])*100 &amp;"%"</totalsRowFormula>
    </tableColumn>
  </tableColumns>
  <tableStyleInfo name="Internal 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55:D58" totalsRowCount="1">
  <autoFilter ref="B55:D57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Lookup 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K2:N21">
  <autoFilter ref="K2:N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27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Input 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P16:P17" totalsRowShown="0" tableBorderDxfId="26" headerRowCellStyle="BoxHead">
  <autoFilter ref="P16:P17" xr:uid="{93D29540-6F26-47B2-9535-0150D72DF45E}">
    <filterColumn colId="0" hiddenButton="1"/>
  </autoFilter>
  <tableColumns count="1">
    <tableColumn id="1" xr3:uid="{48385E94-6978-4DD0-A513-9A4C9FD1FE48}" name="UseCol3"/>
  </tableColumns>
  <tableStyleInfo name="Input 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1:A3" totalsRowShown="0" headerRowDxfId="25" tableBorderDxfId="24" headerRowCellStyle="BoxHead">
  <autoFilter ref="A1:A3" xr:uid="{C449DE06-2E9F-4A19-BFB1-7D18A499D65F}">
    <filterColumn colId="0" hiddenButton="1"/>
  </autoFilter>
  <tableColumns count="1">
    <tableColumn id="1" xr3:uid="{1016B090-ECD0-454A-9893-3BB93473AC65}" name="Bool"/>
  </tableColumns>
  <tableStyleInfo name="Internal Table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C2:D3" totalsRowShown="0" headerRowDxfId="23" dataDxfId="22">
  <autoFilter ref="C2:D3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21">
      <calculatedColumnFormula array="1">OFFSET( BoolName, 0, 0, 1, 1)</calculatedColumnFormula>
    </tableColumn>
    <tableColumn id="3" xr3:uid="{D9396BD0-7182-4272-B658-16AB566D3C90}" name="N" dataDxfId="20">
      <calculatedColumnFormula array="1">OFFSET( BoolName, 1, 0, 1, 1)</calculatedColumnFormula>
    </tableColumn>
  </tableColumns>
  <tableStyleInfo name="Internal Table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5:A6" totalsRowShown="0" headerRowDxfId="19" tableBorderDxfId="18" headerRowCellStyle="BoxHead">
  <autoFilter ref="A5:A6" xr:uid="{3A5E5831-125B-4C13-A27A-6EB2E9241CC5}">
    <filterColumn colId="0" hiddenButton="1"/>
  </autoFilter>
  <tableColumns count="1">
    <tableColumn id="1" xr3:uid="{CBA32D49-7780-4606-BA15-F538B9B77B45}" name="LNF"/>
  </tableColumns>
  <tableStyleInfo name="Internal Table" showFirstColumn="0" showLastColumn="0" showRowStripes="1" showColumnStripes="0"/>
</table>
</file>

<file path=xl/theme/theme1.xml><?xml version="1.0" encoding="utf-8"?>
<a:theme xmlns:a="http://schemas.openxmlformats.org/drawingml/2006/main" name="StyledWorkbook">
  <a:themeElements>
    <a:clrScheme name="AshworthCI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009DD9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Sheet5">
    <tabColor rgb="FF00B050"/>
  </sheetPr>
  <dimension ref="A1:P58"/>
  <sheetViews>
    <sheetView tabSelected="1" zoomScale="140" zoomScaleNormal="140" workbookViewId="0">
      <selection activeCell="B2" sqref="B2"/>
    </sheetView>
  </sheetViews>
  <sheetFormatPr defaultRowHeight="13.6" x14ac:dyDescent="0.2"/>
  <cols>
    <col min="1" max="1" width="20.6640625" bestFit="1" customWidth="1"/>
    <col min="2" max="2" width="27.21875" bestFit="1" customWidth="1"/>
    <col min="3" max="3" width="19.44140625" bestFit="1" customWidth="1"/>
    <col min="4" max="4" width="37.5546875" bestFit="1" customWidth="1"/>
    <col min="5" max="5" width="16.109375" style="2" bestFit="1" customWidth="1"/>
    <col min="6" max="6" width="10.44140625" bestFit="1" customWidth="1"/>
    <col min="7" max="8" width="6.5546875" bestFit="1" customWidth="1"/>
    <col min="9" max="9" width="7.21875" bestFit="1" customWidth="1"/>
    <col min="11" max="11" width="8.21875" customWidth="1"/>
    <col min="12" max="12" width="9.21875" customWidth="1"/>
    <col min="13" max="13" width="8.21875" customWidth="1"/>
    <col min="14" max="14" width="7.21875" customWidth="1"/>
    <col min="15" max="15" width="2.33203125" customWidth="1"/>
    <col min="16" max="16" width="9.109375" customWidth="1"/>
  </cols>
  <sheetData>
    <row r="1" spans="1:16" x14ac:dyDescent="0.2">
      <c r="A1" s="45" t="s">
        <v>0</v>
      </c>
      <c r="B1" s="45"/>
      <c r="C1" s="45"/>
      <c r="D1" s="45"/>
      <c r="E1" s="45"/>
      <c r="F1" s="45"/>
      <c r="G1" s="45"/>
      <c r="H1" s="45"/>
      <c r="I1" s="45"/>
      <c r="K1" s="42" t="s">
        <v>48</v>
      </c>
      <c r="L1" s="43"/>
      <c r="M1" s="43"/>
      <c r="N1" s="44"/>
    </row>
    <row r="2" spans="1:16" x14ac:dyDescent="0.2">
      <c r="A2" s="17" t="s">
        <v>1</v>
      </c>
      <c r="B2" t="s">
        <v>2</v>
      </c>
      <c r="C2" t="s">
        <v>3</v>
      </c>
      <c r="D2" t="s">
        <v>4</v>
      </c>
      <c r="E2" t="s">
        <v>56</v>
      </c>
      <c r="F2" t="s">
        <v>87</v>
      </c>
      <c r="G2" s="38" t="s">
        <v>5</v>
      </c>
      <c r="H2" s="38" t="s">
        <v>6</v>
      </c>
      <c r="I2" s="38" t="s">
        <v>7</v>
      </c>
      <c r="K2" t="s">
        <v>44</v>
      </c>
      <c r="L2" t="s">
        <v>46</v>
      </c>
      <c r="M2" t="s">
        <v>47</v>
      </c>
      <c r="N2" t="s">
        <v>49</v>
      </c>
    </row>
    <row r="3" spans="1:16" x14ac:dyDescent="0.2">
      <c r="A3" s="61" t="s">
        <v>141</v>
      </c>
      <c r="B3" s="4" t="s">
        <v>8</v>
      </c>
      <c r="C3" s="4" t="s">
        <v>9</v>
      </c>
      <c r="D3" s="4" t="s">
        <v>142</v>
      </c>
      <c r="E3" s="4"/>
      <c r="F3" s="4" t="s">
        <v>88</v>
      </c>
      <c r="G3" s="39" t="s">
        <v>111</v>
      </c>
      <c r="H3" s="39" t="s">
        <v>143</v>
      </c>
      <c r="I3" s="60"/>
      <c r="K3" t="b">
        <v>1</v>
      </c>
      <c r="L3" t="s">
        <v>50</v>
      </c>
      <c r="M3">
        <v>700</v>
      </c>
      <c r="N3" t="b" cm="1">
        <f t="array" aca="1" ref="N3" ca="1">AND(ConitionalTable[[#This Row],[Column1]]=BoolYes,ConitionalTable[[#This Row],[Column2]]&lt;&gt;"BadValue",OR(ConitionalTable[[#This Row],[Column3]]&gt;0, NOT(SampleOptionTable[UseCol3])))</f>
        <v>1</v>
      </c>
    </row>
    <row r="4" spans="1:16" x14ac:dyDescent="0.2">
      <c r="A4" s="28" t="s">
        <v>94</v>
      </c>
      <c r="B4" t="s">
        <v>8</v>
      </c>
      <c r="C4" t="s">
        <v>9</v>
      </c>
      <c r="D4" t="s">
        <v>142</v>
      </c>
      <c r="E4"/>
      <c r="F4" t="s">
        <v>88</v>
      </c>
      <c r="G4" s="39" t="s">
        <v>107</v>
      </c>
      <c r="H4" s="39" t="s">
        <v>122</v>
      </c>
      <c r="I4" s="40"/>
      <c r="K4" t="b">
        <v>0</v>
      </c>
      <c r="L4" t="s">
        <v>51</v>
      </c>
      <c r="M4">
        <v>5</v>
      </c>
      <c r="N4" t="b" cm="1">
        <f t="array" aca="1" ref="N4" ca="1">AND(ConitionalTable[[#This Row],[Column1]]=BoolYes,ConitionalTable[[#This Row],[Column2]]&lt;&gt;"BadValue",OR(ConitionalTable[[#This Row],[Column3]]&gt;0, NOT(SampleOptionTable[UseCol3])))</f>
        <v>0</v>
      </c>
    </row>
    <row r="5" spans="1:16" x14ac:dyDescent="0.2">
      <c r="A5" s="59" t="s">
        <v>139</v>
      </c>
      <c r="B5" s="4" t="s">
        <v>11</v>
      </c>
      <c r="C5" s="4" t="s">
        <v>9</v>
      </c>
      <c r="D5" s="4" t="s">
        <v>12</v>
      </c>
      <c r="E5" s="4"/>
      <c r="F5" s="4" t="s">
        <v>127</v>
      </c>
      <c r="G5" s="39" t="s">
        <v>140</v>
      </c>
      <c r="H5" s="39" t="s">
        <v>111</v>
      </c>
      <c r="I5" s="40"/>
      <c r="K5" t="b">
        <v>1</v>
      </c>
      <c r="M5">
        <v>-7</v>
      </c>
      <c r="N5" t="b" cm="1">
        <f t="array" aca="1" ref="N5" ca="1">AND(ConitionalTable[[#This Row],[Column1]]=BoolYes,ConitionalTable[[#This Row],[Column2]]&lt;&gt;"BadValue",OR(ConitionalTable[[#This Row],[Column3]]&gt;0, NOT(SampleOptionTable[UseCol3])))</f>
        <v>1</v>
      </c>
    </row>
    <row r="6" spans="1:16" x14ac:dyDescent="0.2">
      <c r="A6" s="58" t="s">
        <v>10</v>
      </c>
      <c r="B6" t="s">
        <v>11</v>
      </c>
      <c r="C6" t="s">
        <v>9</v>
      </c>
      <c r="D6" t="s">
        <v>12</v>
      </c>
      <c r="E6"/>
      <c r="F6" t="s">
        <v>88</v>
      </c>
      <c r="G6" s="39" t="s">
        <v>108</v>
      </c>
      <c r="H6" s="39" t="s">
        <v>111</v>
      </c>
      <c r="I6" s="40"/>
      <c r="K6" t="b">
        <v>1</v>
      </c>
      <c r="L6" t="s">
        <v>52</v>
      </c>
      <c r="M6">
        <v>20</v>
      </c>
      <c r="N6" t="b" cm="1">
        <f t="array" aca="1" ref="N6" ca="1">AND(ConitionalTable[[#This Row],[Column1]]=BoolYes,ConitionalTable[[#This Row],[Column2]]&lt;&gt;"BadValue",OR(ConitionalTable[[#This Row],[Column3]]&gt;0, NOT(SampleOptionTable[UseCol3])))</f>
        <v>1</v>
      </c>
    </row>
    <row r="7" spans="1:16" x14ac:dyDescent="0.2">
      <c r="A7" s="37" t="s">
        <v>112</v>
      </c>
      <c r="B7" s="4" t="s">
        <v>8</v>
      </c>
      <c r="C7" t="s">
        <v>9</v>
      </c>
      <c r="D7" t="s">
        <v>54</v>
      </c>
      <c r="E7"/>
      <c r="F7" t="s">
        <v>88</v>
      </c>
      <c r="G7" s="39" t="s">
        <v>111</v>
      </c>
      <c r="H7" s="39" t="s">
        <v>110</v>
      </c>
      <c r="I7" s="40"/>
      <c r="K7" t="b">
        <v>1</v>
      </c>
      <c r="M7">
        <v>-100</v>
      </c>
      <c r="N7" t="b" cm="1">
        <f t="array" aca="1" ref="N7" ca="1">AND(ConitionalTable[[#This Row],[Column1]]=BoolYes,ConitionalTable[[#This Row],[Column2]]&lt;&gt;"BadValue",OR(ConitionalTable[[#This Row],[Column3]]&gt;0, NOT(SampleOptionTable[UseCol3])))</f>
        <v>1</v>
      </c>
    </row>
    <row r="8" spans="1:16" x14ac:dyDescent="0.2">
      <c r="A8" s="46" t="s">
        <v>53</v>
      </c>
      <c r="B8" s="4" t="s">
        <v>8</v>
      </c>
      <c r="C8" s="4" t="s">
        <v>9</v>
      </c>
      <c r="D8" s="4" t="s">
        <v>54</v>
      </c>
      <c r="E8" s="4"/>
      <c r="F8" s="4" t="s">
        <v>88</v>
      </c>
      <c r="G8" s="39" t="s">
        <v>107</v>
      </c>
      <c r="H8" s="39" t="s">
        <v>117</v>
      </c>
      <c r="I8" s="39"/>
      <c r="K8" t="b">
        <v>1</v>
      </c>
      <c r="N8" t="b" cm="1">
        <f t="array" aca="1" ref="N8" ca="1">AND(ConitionalTable[[#This Row],[Column1]]=BoolYes,ConitionalTable[[#This Row],[Column2]]&lt;&gt;"BadValue",OR(ConitionalTable[[#This Row],[Column3]]&gt;0, NOT(SampleOptionTable[UseCol3])))</f>
        <v>1</v>
      </c>
    </row>
    <row r="9" spans="1:16" x14ac:dyDescent="0.2">
      <c r="A9" s="41" t="s">
        <v>113</v>
      </c>
      <c r="B9" t="s">
        <v>23</v>
      </c>
      <c r="C9" t="s">
        <v>9</v>
      </c>
      <c r="D9" t="s">
        <v>24</v>
      </c>
      <c r="F9" t="s">
        <v>88</v>
      </c>
      <c r="G9" s="39" t="s">
        <v>109</v>
      </c>
      <c r="H9" s="39" t="s">
        <v>110</v>
      </c>
      <c r="I9" s="39"/>
      <c r="K9" t="b">
        <v>1</v>
      </c>
      <c r="M9">
        <v>80</v>
      </c>
      <c r="N9" t="b" cm="1">
        <f t="array" aca="1" ref="N9" ca="1">AND(ConitionalTable[[#This Row],[Column1]]=BoolYes,ConitionalTable[[#This Row],[Column2]]&lt;&gt;"BadValue",OR(ConitionalTable[[#This Row],[Column3]]&gt;0, NOT(SampleOptionTable[UseCol3])))</f>
        <v>1</v>
      </c>
    </row>
    <row r="10" spans="1:16" x14ac:dyDescent="0.2">
      <c r="A10" s="47" t="s">
        <v>116</v>
      </c>
      <c r="B10" s="4" t="s">
        <v>23</v>
      </c>
      <c r="C10" s="4" t="s">
        <v>9</v>
      </c>
      <c r="D10" s="4" t="s">
        <v>24</v>
      </c>
      <c r="E10" s="4" t="s">
        <v>86</v>
      </c>
      <c r="F10" s="4" t="s">
        <v>88</v>
      </c>
      <c r="G10" s="39" t="s">
        <v>119</v>
      </c>
      <c r="H10" s="39" t="s">
        <v>118</v>
      </c>
      <c r="I10" s="39" t="s">
        <v>107</v>
      </c>
      <c r="N10" t="b" cm="1">
        <f t="array" aca="1" ref="N10" ca="1">AND(ConitionalTable[[#This Row],[Column1]]=BoolYes,ConitionalTable[[#This Row],[Column2]]&lt;&gt;"BadValue",OR(ConitionalTable[[#This Row],[Column3]]&gt;0, NOT(SampleOptionTable[UseCol3])))</f>
        <v>0</v>
      </c>
    </row>
    <row r="11" spans="1:16" x14ac:dyDescent="0.2">
      <c r="A11" s="48" t="s">
        <v>58</v>
      </c>
      <c r="B11" t="s">
        <v>20</v>
      </c>
      <c r="C11" t="s">
        <v>9</v>
      </c>
      <c r="D11" t="s">
        <v>15</v>
      </c>
      <c r="E11" t="s">
        <v>60</v>
      </c>
      <c r="F11" t="s">
        <v>88</v>
      </c>
      <c r="G11" s="39" t="s">
        <v>105</v>
      </c>
      <c r="H11" s="39" t="s">
        <v>129</v>
      </c>
      <c r="I11" s="40"/>
      <c r="N11" t="b" cm="1">
        <f t="array" aca="1" ref="N11" ca="1">AND(ConitionalTable[[#This Row],[Column1]]=BoolYes,ConitionalTable[[#This Row],[Column2]]&lt;&gt;"BadValue",OR(ConitionalTable[[#This Row],[Column3]]&gt;0, NOT(SampleOptionTable[UseCol3])))</f>
        <v>0</v>
      </c>
    </row>
    <row r="12" spans="1:16" x14ac:dyDescent="0.2">
      <c r="A12" s="52" t="s">
        <v>131</v>
      </c>
      <c r="B12" s="4" t="s">
        <v>20</v>
      </c>
      <c r="C12" s="4" t="s">
        <v>16</v>
      </c>
      <c r="D12" s="4" t="s">
        <v>17</v>
      </c>
      <c r="E12" s="4" t="s">
        <v>60</v>
      </c>
      <c r="F12" s="4" t="s">
        <v>127</v>
      </c>
      <c r="G12" s="39" t="s">
        <v>132</v>
      </c>
      <c r="H12" s="39"/>
      <c r="I12" s="40"/>
      <c r="K12" t="b">
        <v>0</v>
      </c>
      <c r="N12" t="b" cm="1">
        <f t="array" aca="1" ref="N12" ca="1">AND(ConitionalTable[[#This Row],[Column1]]=BoolYes,ConitionalTable[[#This Row],[Column2]]&lt;&gt;"BadValue",OR(ConitionalTable[[#This Row],[Column3]]&gt;0, NOT(SampleOptionTable[UseCol3])))</f>
        <v>0</v>
      </c>
    </row>
    <row r="13" spans="1:16" x14ac:dyDescent="0.2">
      <c r="A13" s="50" t="s">
        <v>59</v>
      </c>
      <c r="B13" t="s">
        <v>61</v>
      </c>
      <c r="C13" t="s">
        <v>16</v>
      </c>
      <c r="D13" t="s">
        <v>17</v>
      </c>
      <c r="E13" t="s">
        <v>60</v>
      </c>
      <c r="F13" t="s">
        <v>88</v>
      </c>
      <c r="G13" s="39" t="s">
        <v>106</v>
      </c>
      <c r="H13" s="39" t="s">
        <v>105</v>
      </c>
      <c r="I13" s="40"/>
      <c r="K13" t="b">
        <v>0</v>
      </c>
      <c r="M13">
        <v>-56</v>
      </c>
      <c r="N13" t="b" cm="1">
        <f t="array" aca="1" ref="N13" ca="1">AND(ConitionalTable[[#This Row],[Column1]]=BoolYes,ConitionalTable[[#This Row],[Column2]]&lt;&gt;"BadValue",OR(ConitionalTable[[#This Row],[Column3]]&gt;0, NOT(SampleOptionTable[UseCol3])))</f>
        <v>0</v>
      </c>
    </row>
    <row r="14" spans="1:16" x14ac:dyDescent="0.2">
      <c r="A14" s="1" t="s">
        <v>91</v>
      </c>
      <c r="B14" t="s">
        <v>8</v>
      </c>
      <c r="C14" t="s">
        <v>9</v>
      </c>
      <c r="D14" t="s">
        <v>15</v>
      </c>
      <c r="E14"/>
      <c r="F14" s="4" t="s">
        <v>88</v>
      </c>
      <c r="G14" s="39" t="s">
        <v>126</v>
      </c>
      <c r="H14" s="39" t="s">
        <v>121</v>
      </c>
      <c r="I14" s="40"/>
      <c r="K14" t="b">
        <v>0</v>
      </c>
      <c r="N14" t="b" cm="1">
        <f t="array" aca="1" ref="N14" ca="1">AND(ConitionalTable[[#This Row],[Column1]]=BoolYes,ConitionalTable[[#This Row],[Column2]]&lt;&gt;"BadValue",OR(ConitionalTable[[#This Row],[Column3]]&gt;0, NOT(SampleOptionTable[UseCol3])))</f>
        <v>0</v>
      </c>
    </row>
    <row r="15" spans="1:16" x14ac:dyDescent="0.2">
      <c r="A15" s="31" t="s">
        <v>92</v>
      </c>
      <c r="B15" t="s">
        <v>14</v>
      </c>
      <c r="C15" t="s">
        <v>9</v>
      </c>
      <c r="D15" t="s">
        <v>100</v>
      </c>
      <c r="E15"/>
      <c r="F15" t="s">
        <v>88</v>
      </c>
      <c r="G15" s="39"/>
      <c r="H15" s="39" t="s">
        <v>109</v>
      </c>
      <c r="I15" s="40"/>
      <c r="K15" t="b">
        <v>0</v>
      </c>
      <c r="N15" t="b" cm="1">
        <f t="array" aca="1" ref="N15" ca="1">AND(ConitionalTable[[#This Row],[Column1]]=BoolYes,ConitionalTable[[#This Row],[Column2]]&lt;&gt;"BadValue",OR(ConitionalTable[[#This Row],[Column3]]&gt;0, NOT(SampleOptionTable[UseCol3])))</f>
        <v>0</v>
      </c>
    </row>
    <row r="16" spans="1:16" x14ac:dyDescent="0.2">
      <c r="A16" s="51" t="s">
        <v>135</v>
      </c>
      <c r="B16" s="4" t="s">
        <v>11</v>
      </c>
      <c r="C16" s="4" t="s">
        <v>9</v>
      </c>
      <c r="D16" s="4" t="s">
        <v>102</v>
      </c>
      <c r="E16" s="4"/>
      <c r="F16" s="4" t="s">
        <v>127</v>
      </c>
      <c r="G16" s="39" t="s">
        <v>130</v>
      </c>
      <c r="H16" s="39" t="s">
        <v>109</v>
      </c>
      <c r="I16" s="40"/>
      <c r="K16" t="b">
        <v>0</v>
      </c>
      <c r="N16" t="b" cm="1">
        <f t="array" aca="1" ref="N16" ca="1">AND(ConitionalTable[[#This Row],[Column1]]=BoolYes,ConitionalTable[[#This Row],[Column2]]&lt;&gt;"BadValue",OR(ConitionalTable[[#This Row],[Column3]]&gt;0, NOT(SampleOptionTable[UseCol3])))</f>
        <v>0</v>
      </c>
      <c r="P16" s="7" t="s">
        <v>55</v>
      </c>
    </row>
    <row r="17" spans="1:16" x14ac:dyDescent="0.2">
      <c r="A17" s="34" t="s">
        <v>96</v>
      </c>
      <c r="B17" t="s">
        <v>11</v>
      </c>
      <c r="C17" t="s">
        <v>9</v>
      </c>
      <c r="D17" s="4" t="s">
        <v>101</v>
      </c>
      <c r="E17"/>
      <c r="F17" t="s">
        <v>88</v>
      </c>
      <c r="G17" s="39"/>
      <c r="H17" s="39" t="s">
        <v>109</v>
      </c>
      <c r="I17" s="40"/>
      <c r="K17" t="b">
        <v>0</v>
      </c>
      <c r="N17" t="b" cm="1">
        <f t="array" aca="1" ref="N17" ca="1">AND(ConitionalTable[[#This Row],[Column1]]=BoolYes,ConitionalTable[[#This Row],[Column2]]&lt;&gt;"BadValue",OR(ConitionalTable[[#This Row],[Column3]]&gt;0, NOT(SampleOptionTable[UseCol3])))</f>
        <v>0</v>
      </c>
      <c r="P17" s="3" t="b">
        <v>0</v>
      </c>
    </row>
    <row r="18" spans="1:16" x14ac:dyDescent="0.2">
      <c r="A18" s="35" t="s">
        <v>95</v>
      </c>
      <c r="B18" t="s">
        <v>11</v>
      </c>
      <c r="C18" t="s">
        <v>9</v>
      </c>
      <c r="D18" t="s">
        <v>102</v>
      </c>
      <c r="E18"/>
      <c r="F18" s="2" t="s">
        <v>88</v>
      </c>
      <c r="G18" s="39"/>
      <c r="H18" s="39" t="s">
        <v>109</v>
      </c>
      <c r="I18" s="40"/>
      <c r="K18" t="b">
        <v>0</v>
      </c>
      <c r="N18" t="b" cm="1">
        <f t="array" aca="1" ref="N18" ca="1">AND(ConitionalTable[[#This Row],[Column1]]=BoolYes,ConitionalTable[[#This Row],[Column2]]&lt;&gt;"BadValue",OR(ConitionalTable[[#This Row],[Column3]]&gt;0, NOT(SampleOptionTable[UseCol3])))</f>
        <v>0</v>
      </c>
    </row>
    <row r="19" spans="1:16" x14ac:dyDescent="0.2">
      <c r="A19" s="33" t="s">
        <v>97</v>
      </c>
      <c r="B19" t="s">
        <v>21</v>
      </c>
      <c r="C19" t="s">
        <v>16</v>
      </c>
      <c r="D19" t="s">
        <v>22</v>
      </c>
      <c r="E19" t="s">
        <v>86</v>
      </c>
      <c r="F19" t="s">
        <v>88</v>
      </c>
      <c r="G19" s="39"/>
      <c r="H19" s="39"/>
      <c r="I19" s="40"/>
      <c r="K19" t="b">
        <v>0</v>
      </c>
      <c r="N19" t="b" cm="1">
        <f t="array" aca="1" ref="N19" ca="1">AND(ConitionalTable[[#This Row],[Column1]]=BoolYes,ConitionalTable[[#This Row],[Column2]]&lt;&gt;"BadValue",OR(ConitionalTable[[#This Row],[Column3]]&gt;0, NOT(SampleOptionTable[UseCol3])))</f>
        <v>0</v>
      </c>
    </row>
    <row r="20" spans="1:16" x14ac:dyDescent="0.2">
      <c r="A20" s="23" t="s">
        <v>62</v>
      </c>
      <c r="B20" t="s">
        <v>8</v>
      </c>
      <c r="C20" t="s">
        <v>9</v>
      </c>
      <c r="D20" t="s">
        <v>15</v>
      </c>
      <c r="E20"/>
      <c r="F20" t="s">
        <v>88</v>
      </c>
      <c r="G20" s="39" t="s">
        <v>123</v>
      </c>
      <c r="H20" s="39" t="s">
        <v>114</v>
      </c>
      <c r="I20" s="40"/>
      <c r="K20" t="b">
        <v>0</v>
      </c>
      <c r="N20" t="b" cm="1">
        <f t="array" aca="1" ref="N20" ca="1">AND(ConitionalTable[[#This Row],[Column1]]=BoolYes,ConitionalTable[[#This Row],[Column2]]&lt;&gt;"BadValue",OR(ConitionalTable[[#This Row],[Column3]]&gt;0, NOT(SampleOptionTable[UseCol3])))</f>
        <v>0</v>
      </c>
    </row>
    <row r="21" spans="1:16" x14ac:dyDescent="0.2">
      <c r="A21" s="19" t="s">
        <v>13</v>
      </c>
      <c r="B21" t="s">
        <v>8</v>
      </c>
      <c r="C21" t="s">
        <v>9</v>
      </c>
      <c r="D21" t="s">
        <v>15</v>
      </c>
      <c r="E21"/>
      <c r="F21" t="s">
        <v>88</v>
      </c>
      <c r="G21" s="39"/>
      <c r="H21" s="39" t="s">
        <v>109</v>
      </c>
      <c r="I21" s="40"/>
      <c r="N21" t="b" cm="1">
        <f t="array" aca="1" ref="N21" ca="1">AND(ConitionalTable[[#This Row],[Column1]]=BoolYes,ConitionalTable[[#This Row],[Column2]]&lt;&gt;"BadValue",OR(ConitionalTable[[#This Row],[Column3]]&gt;0, NOT(SampleOptionTable[UseCol3])))</f>
        <v>0</v>
      </c>
    </row>
    <row r="22" spans="1:16" x14ac:dyDescent="0.2">
      <c r="A22" s="49" t="s">
        <v>134</v>
      </c>
      <c r="B22" s="4" t="s">
        <v>19</v>
      </c>
      <c r="C22" s="4" t="s">
        <v>16</v>
      </c>
      <c r="D22" s="4" t="s">
        <v>17</v>
      </c>
      <c r="E22" s="4"/>
      <c r="F22" s="4" t="s">
        <v>127</v>
      </c>
      <c r="G22" s="39" t="s">
        <v>128</v>
      </c>
      <c r="H22" s="39" t="s">
        <v>109</v>
      </c>
      <c r="I22" s="40"/>
    </row>
    <row r="23" spans="1:16" x14ac:dyDescent="0.2">
      <c r="A23" s="20" t="s">
        <v>63</v>
      </c>
      <c r="B23" t="s">
        <v>19</v>
      </c>
      <c r="C23" t="s">
        <v>16</v>
      </c>
      <c r="D23" t="s">
        <v>17</v>
      </c>
      <c r="E23"/>
      <c r="F23" t="s">
        <v>88</v>
      </c>
      <c r="G23" s="39"/>
      <c r="H23" s="39" t="s">
        <v>109</v>
      </c>
      <c r="I23" s="40"/>
    </row>
    <row r="24" spans="1:16" s="4" customFormat="1" x14ac:dyDescent="0.2">
      <c r="A24" s="21" t="s">
        <v>18</v>
      </c>
      <c r="B24" t="s">
        <v>19</v>
      </c>
      <c r="C24" t="s">
        <v>16</v>
      </c>
      <c r="D24" t="s">
        <v>17</v>
      </c>
      <c r="E24"/>
      <c r="F24" t="s">
        <v>88</v>
      </c>
      <c r="G24" s="39"/>
      <c r="H24" s="39" t="s">
        <v>109</v>
      </c>
      <c r="I24" s="40"/>
    </row>
    <row r="25" spans="1:16" s="4" customFormat="1" x14ac:dyDescent="0.2">
      <c r="A25" s="29" t="s">
        <v>99</v>
      </c>
      <c r="B25" t="s">
        <v>19</v>
      </c>
      <c r="C25" t="s">
        <v>16</v>
      </c>
      <c r="D25" t="s">
        <v>57</v>
      </c>
      <c r="E25" t="s">
        <v>86</v>
      </c>
      <c r="F25" t="s">
        <v>88</v>
      </c>
      <c r="G25" s="39"/>
      <c r="H25" s="39"/>
      <c r="I25" s="40"/>
    </row>
    <row r="26" spans="1:16" x14ac:dyDescent="0.2">
      <c r="A26" s="26" t="s">
        <v>84</v>
      </c>
      <c r="B26" t="s">
        <v>8</v>
      </c>
      <c r="C26" t="s">
        <v>9</v>
      </c>
      <c r="D26" t="s">
        <v>15</v>
      </c>
      <c r="E26"/>
      <c r="F26" t="s">
        <v>88</v>
      </c>
      <c r="G26" s="39" t="s">
        <v>125</v>
      </c>
      <c r="H26" s="39" t="s">
        <v>120</v>
      </c>
      <c r="I26" s="40"/>
    </row>
    <row r="27" spans="1:16" x14ac:dyDescent="0.2">
      <c r="A27" s="27" t="s">
        <v>83</v>
      </c>
      <c r="B27" t="s">
        <v>8</v>
      </c>
      <c r="C27" t="s">
        <v>9</v>
      </c>
      <c r="D27" t="s">
        <v>15</v>
      </c>
      <c r="E27"/>
      <c r="F27" t="s">
        <v>88</v>
      </c>
      <c r="G27" s="39"/>
      <c r="H27" s="39" t="s">
        <v>109</v>
      </c>
      <c r="I27" s="40"/>
    </row>
    <row r="28" spans="1:16" x14ac:dyDescent="0.2">
      <c r="A28" s="55" t="s">
        <v>133</v>
      </c>
      <c r="B28" s="4" t="s">
        <v>11</v>
      </c>
      <c r="C28" s="4" t="s">
        <v>9</v>
      </c>
      <c r="D28" s="4" t="s">
        <v>41</v>
      </c>
      <c r="E28" s="4"/>
      <c r="F28" s="4" t="s">
        <v>127</v>
      </c>
      <c r="G28" s="39" t="s">
        <v>136</v>
      </c>
      <c r="H28" s="39" t="s">
        <v>109</v>
      </c>
      <c r="I28" s="40"/>
    </row>
    <row r="29" spans="1:16" x14ac:dyDescent="0.2">
      <c r="A29" s="54" t="s">
        <v>93</v>
      </c>
      <c r="B29" t="s">
        <v>11</v>
      </c>
      <c r="C29" t="s">
        <v>9</v>
      </c>
      <c r="D29" t="s">
        <v>41</v>
      </c>
      <c r="E29"/>
      <c r="F29" t="s">
        <v>88</v>
      </c>
      <c r="G29" s="39"/>
      <c r="H29" s="39" t="s">
        <v>109</v>
      </c>
      <c r="I29" s="40"/>
    </row>
    <row r="30" spans="1:16" x14ac:dyDescent="0.2">
      <c r="A30" s="53" t="s">
        <v>82</v>
      </c>
      <c r="B30" t="s">
        <v>11</v>
      </c>
      <c r="C30" t="s">
        <v>9</v>
      </c>
      <c r="D30" t="s">
        <v>41</v>
      </c>
      <c r="E30"/>
      <c r="F30" t="s">
        <v>88</v>
      </c>
      <c r="G30" s="39"/>
      <c r="H30" s="39" t="s">
        <v>109</v>
      </c>
      <c r="I30" s="40"/>
    </row>
    <row r="31" spans="1:16" x14ac:dyDescent="0.2">
      <c r="A31" s="32" t="s">
        <v>98</v>
      </c>
      <c r="B31" t="s">
        <v>11</v>
      </c>
      <c r="C31" s="4" t="s">
        <v>9</v>
      </c>
      <c r="D31" s="4" t="s">
        <v>41</v>
      </c>
      <c r="E31" s="4" t="s">
        <v>86</v>
      </c>
      <c r="F31" s="4" t="s">
        <v>88</v>
      </c>
      <c r="G31" s="39"/>
      <c r="H31" s="39"/>
      <c r="I31" s="40"/>
    </row>
    <row r="32" spans="1:16" s="2" customFormat="1" x14ac:dyDescent="0.2">
      <c r="A32" s="22" t="s">
        <v>25</v>
      </c>
      <c r="B32" t="s">
        <v>8</v>
      </c>
      <c r="C32" t="s">
        <v>9</v>
      </c>
      <c r="D32" t="s">
        <v>26</v>
      </c>
      <c r="E32"/>
      <c r="F32" t="s">
        <v>88</v>
      </c>
      <c r="G32" s="39" t="s">
        <v>124</v>
      </c>
      <c r="H32" s="39" t="s">
        <v>115</v>
      </c>
      <c r="I32" s="40"/>
    </row>
    <row r="33" spans="1:9" s="2" customFormat="1" x14ac:dyDescent="0.2">
      <c r="A33" s="24" t="s">
        <v>27</v>
      </c>
      <c r="B33" t="s">
        <v>8</v>
      </c>
      <c r="C33" t="s">
        <v>9</v>
      </c>
      <c r="D33" t="s">
        <v>26</v>
      </c>
      <c r="E33"/>
      <c r="F33" t="s">
        <v>88</v>
      </c>
      <c r="G33" s="39"/>
      <c r="H33" s="39" t="s">
        <v>109</v>
      </c>
      <c r="I33" s="40"/>
    </row>
    <row r="34" spans="1:9" x14ac:dyDescent="0.2">
      <c r="A34" s="57" t="s">
        <v>138</v>
      </c>
      <c r="B34" s="4" t="s">
        <v>8</v>
      </c>
      <c r="C34" s="4" t="s">
        <v>9</v>
      </c>
      <c r="D34" s="4" t="s">
        <v>26</v>
      </c>
      <c r="E34" s="4"/>
      <c r="F34" s="4" t="s">
        <v>127</v>
      </c>
      <c r="G34" s="39" t="s">
        <v>137</v>
      </c>
      <c r="H34" s="39" t="s">
        <v>109</v>
      </c>
      <c r="I34" s="40"/>
    </row>
    <row r="35" spans="1:9" x14ac:dyDescent="0.2">
      <c r="A35" s="25" t="s">
        <v>28</v>
      </c>
      <c r="B35" t="s">
        <v>21</v>
      </c>
      <c r="C35" t="s">
        <v>9</v>
      </c>
      <c r="D35" t="s">
        <v>26</v>
      </c>
      <c r="E35"/>
      <c r="F35" t="s">
        <v>88</v>
      </c>
      <c r="G35" s="39"/>
      <c r="H35" s="39" t="s">
        <v>109</v>
      </c>
      <c r="I35" s="40"/>
    </row>
    <row r="36" spans="1:9" x14ac:dyDescent="0.2">
      <c r="A36" s="56" t="s">
        <v>29</v>
      </c>
      <c r="B36" t="s">
        <v>21</v>
      </c>
      <c r="C36" t="s">
        <v>9</v>
      </c>
      <c r="D36" t="s">
        <v>26</v>
      </c>
      <c r="E36"/>
      <c r="F36" t="s">
        <v>88</v>
      </c>
      <c r="G36" s="39"/>
      <c r="H36" s="39" t="s">
        <v>109</v>
      </c>
      <c r="I36" s="40"/>
    </row>
    <row r="37" spans="1:9" x14ac:dyDescent="0.2">
      <c r="A37" s="36" t="s">
        <v>103</v>
      </c>
      <c r="B37" s="4" t="s">
        <v>104</v>
      </c>
      <c r="C37" s="4" t="s">
        <v>9</v>
      </c>
      <c r="D37" s="4" t="s">
        <v>26</v>
      </c>
      <c r="E37" s="4" t="s">
        <v>86</v>
      </c>
      <c r="F37" s="4" t="s">
        <v>88</v>
      </c>
      <c r="G37" s="39"/>
      <c r="H37" s="39"/>
      <c r="I37" s="40"/>
    </row>
    <row r="39" spans="1:9" x14ac:dyDescent="0.2">
      <c r="B39" s="42" t="s">
        <v>30</v>
      </c>
      <c r="C39" s="43"/>
      <c r="D39" s="44"/>
      <c r="E39"/>
    </row>
    <row r="40" spans="1:9" x14ac:dyDescent="0.2">
      <c r="A40" s="10"/>
      <c r="B40" s="9" t="s">
        <v>68</v>
      </c>
      <c r="C40" s="18" t="s">
        <v>69</v>
      </c>
      <c r="D40" s="14" t="s">
        <v>31</v>
      </c>
      <c r="E40"/>
    </row>
    <row r="41" spans="1:9" x14ac:dyDescent="0.2">
      <c r="B41" s="30" t="s">
        <v>65</v>
      </c>
      <c r="C41" s="12" t="s">
        <v>66</v>
      </c>
      <c r="D41" s="15" t="s">
        <v>67</v>
      </c>
      <c r="E41"/>
    </row>
    <row r="42" spans="1:9" x14ac:dyDescent="0.2">
      <c r="A42" s="2"/>
      <c r="B42" s="30" t="s">
        <v>89</v>
      </c>
      <c r="C42" s="13" t="s">
        <v>32</v>
      </c>
      <c r="D42" s="16" t="s">
        <v>80</v>
      </c>
      <c r="E42"/>
      <c r="F42" s="2"/>
      <c r="G42" s="2"/>
      <c r="H42" s="2"/>
      <c r="I42" s="2"/>
    </row>
    <row r="43" spans="1:9" x14ac:dyDescent="0.2">
      <c r="A43" s="2"/>
      <c r="B43" s="11" t="s">
        <v>90</v>
      </c>
      <c r="C43" s="8" t="s">
        <v>90</v>
      </c>
      <c r="D43" s="15" t="s">
        <v>70</v>
      </c>
      <c r="E43"/>
      <c r="F43" s="2"/>
      <c r="G43" s="2"/>
      <c r="H43" s="2"/>
      <c r="I43" s="2"/>
    </row>
    <row r="44" spans="1:9" x14ac:dyDescent="0.2">
      <c r="E44"/>
    </row>
    <row r="45" spans="1:9" x14ac:dyDescent="0.2">
      <c r="B45" t="s">
        <v>64</v>
      </c>
      <c r="C45" t="s">
        <v>34</v>
      </c>
      <c r="D45" t="s">
        <v>35</v>
      </c>
      <c r="E45"/>
    </row>
    <row r="46" spans="1:9" x14ac:dyDescent="0.2">
      <c r="B46" t="s">
        <v>71</v>
      </c>
      <c r="C46" t="s">
        <v>73</v>
      </c>
      <c r="D46" t="str">
        <f>RIGHT(InputSampleTable[[#This Row],[InputColumn2]],5)</f>
        <v>Value</v>
      </c>
      <c r="E46"/>
    </row>
    <row r="47" spans="1:9" x14ac:dyDescent="0.2">
      <c r="B47" t="s">
        <v>72</v>
      </c>
      <c r="D47" t="str">
        <f>RIGHT(InputSampleTable[[#This Row],[InputColumn2]],5)</f>
        <v/>
      </c>
      <c r="E47"/>
    </row>
    <row r="48" spans="1:9" x14ac:dyDescent="0.2">
      <c r="B48" t="s">
        <v>81</v>
      </c>
      <c r="D48" t="str">
        <f>COUNTIF(InputSampleTable[CalcColumn3], "Value") &amp; " Value in Column"</f>
        <v>1 Value in Column</v>
      </c>
      <c r="E48"/>
    </row>
    <row r="49" spans="2:5" x14ac:dyDescent="0.2">
      <c r="E49"/>
    </row>
    <row r="50" spans="2:5" x14ac:dyDescent="0.2">
      <c r="B50" t="s">
        <v>33</v>
      </c>
      <c r="C50" t="s">
        <v>36</v>
      </c>
      <c r="D50" t="s">
        <v>35</v>
      </c>
      <c r="E50"/>
    </row>
    <row r="51" spans="2:5" x14ac:dyDescent="0.2">
      <c r="B51" t="s">
        <v>74</v>
      </c>
      <c r="D51">
        <f t="shared" ref="D51:D52" si="0">1 /  VALUE(LEFT($C$53,1))</f>
        <v>0.5</v>
      </c>
      <c r="E51"/>
    </row>
    <row r="52" spans="2:5" x14ac:dyDescent="0.2">
      <c r="B52" t="s">
        <v>75</v>
      </c>
      <c r="D52">
        <f t="shared" si="0"/>
        <v>0.5</v>
      </c>
      <c r="E52"/>
    </row>
    <row r="53" spans="2:5" x14ac:dyDescent="0.2">
      <c r="B53" t="s">
        <v>81</v>
      </c>
      <c r="C53" t="str">
        <f>COUNTIF(IntSampleTable[Internal2],"")    &amp;     " Blank Cells"</f>
        <v>2 Blank Cells</v>
      </c>
      <c r="D53" t="str">
        <f>"Total: "&amp; SUBTOTAL(109,IntSampleTable[CalcColumn3])*100 &amp;"%"</f>
        <v>Total: 100%</v>
      </c>
      <c r="E53"/>
    </row>
    <row r="55" spans="2:5" x14ac:dyDescent="0.2">
      <c r="B55" t="s">
        <v>85</v>
      </c>
      <c r="C55" t="s">
        <v>37</v>
      </c>
      <c r="D55" t="s">
        <v>35</v>
      </c>
    </row>
    <row r="56" spans="2:5" x14ac:dyDescent="0.2">
      <c r="B56" t="s">
        <v>76</v>
      </c>
      <c r="C56" t="s">
        <v>78</v>
      </c>
      <c r="D56" t="b">
        <f>QuerySampleTable[[#This Row],[QueryColumn2]]  = "Query Value"</f>
        <v>1</v>
      </c>
    </row>
    <row r="57" spans="2:5" x14ac:dyDescent="0.2">
      <c r="B57" t="s">
        <v>77</v>
      </c>
      <c r="C57" t="s">
        <v>79</v>
      </c>
      <c r="D57" t="b">
        <f>QuerySampleTable[[#This Row],[QueryColumn2]]  = "Query Value"</f>
        <v>0</v>
      </c>
      <c r="E57" s="6"/>
    </row>
    <row r="58" spans="2:5" x14ac:dyDescent="0.2">
      <c r="B58" t="s">
        <v>81</v>
      </c>
      <c r="C58" t="str">
        <f>COUNTIF(QuerySampleTable[QueryColumn2],"* Error")&amp;" Error in Col"</f>
        <v>1 Error in Col</v>
      </c>
      <c r="D58" t="str">
        <f>IF(_xlfn.XMATCH(FALSE, QuerySampleTable[CalcColumn3],0,1) &gt; 0,  "&gt;0  Falses in Column", "Column Good")</f>
        <v>&gt;0  Falses in Column</v>
      </c>
      <c r="E58" s="6"/>
    </row>
  </sheetData>
  <dataConsolidate/>
  <mergeCells count="3">
    <mergeCell ref="B39:D39"/>
    <mergeCell ref="K1:N1"/>
    <mergeCell ref="A1:I1"/>
  </mergeCells>
  <phoneticPr fontId="20" type="noConversion"/>
  <conditionalFormatting sqref="L3:L9 L11:L21">
    <cfRule type="expression" dxfId="8" priority="9">
      <formula>L3="BadValue"</formula>
    </cfRule>
  </conditionalFormatting>
  <conditionalFormatting sqref="N3:N21">
    <cfRule type="expression" dxfId="7" priority="8">
      <formula>$L3="BadValue"</formula>
    </cfRule>
  </conditionalFormatting>
  <conditionalFormatting sqref="L2">
    <cfRule type="expression" dxfId="6" priority="6">
      <formula>_xlfn.XMATCH("BadValue", $L$3:$L$21, 0, 1) &gt; 0</formula>
    </cfRule>
  </conditionalFormatting>
  <conditionalFormatting sqref="M3:M21">
    <cfRule type="expression" dxfId="5" priority="4">
      <formula>NOT($P$17)</formula>
    </cfRule>
  </conditionalFormatting>
  <conditionalFormatting sqref="M2">
    <cfRule type="expression" dxfId="4" priority="3">
      <formula>NOT($P$17)</formula>
    </cfRule>
  </conditionalFormatting>
  <conditionalFormatting sqref="K3:K21">
    <cfRule type="expression" dxfId="3" priority="2">
      <formula>ISBLANK(K3)</formula>
    </cfRule>
  </conditionalFormatting>
  <conditionalFormatting sqref="C56:C57">
    <cfRule type="expression" dxfId="2" priority="1">
      <formula>C56="Query Error"</formula>
    </cfRule>
  </conditionalFormatting>
  <dataValidations count="1">
    <dataValidation type="list" allowBlank="1" showInputMessage="1" showErrorMessage="1" sqref="K3:K21 P17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Sheet1">
    <tabColor rgb="FFC00000"/>
  </sheetPr>
  <dimension ref="A1:D6"/>
  <sheetViews>
    <sheetView zoomScale="145" zoomScaleNormal="145" workbookViewId="0">
      <selection activeCell="G7" sqref="G7"/>
    </sheetView>
  </sheetViews>
  <sheetFormatPr defaultRowHeight="13.6" x14ac:dyDescent="0.2"/>
  <cols>
    <col min="1" max="1" width="5.88671875" customWidth="1"/>
    <col min="2" max="2" width="2.33203125" customWidth="1"/>
    <col min="3" max="3" width="5.109375" customWidth="1"/>
    <col min="4" max="4" width="6.109375" customWidth="1"/>
  </cols>
  <sheetData>
    <row r="1" spans="1:4" x14ac:dyDescent="0.2">
      <c r="A1" s="5" t="s">
        <v>38</v>
      </c>
      <c r="C1" s="42" t="s">
        <v>42</v>
      </c>
      <c r="D1" s="44"/>
    </row>
    <row r="2" spans="1:4" x14ac:dyDescent="0.2">
      <c r="A2" s="3" t="b">
        <v>1</v>
      </c>
      <c r="C2" s="6" t="s">
        <v>39</v>
      </c>
      <c r="D2" s="6" t="s">
        <v>40</v>
      </c>
    </row>
    <row r="3" spans="1:4" x14ac:dyDescent="0.2">
      <c r="A3" s="3" t="b">
        <v>0</v>
      </c>
      <c r="C3" s="6" t="b" cm="1">
        <f t="array" aca="1" ref="C3" ca="1">OFFSET( BoolName, 0, 0, 1, 1)</f>
        <v>1</v>
      </c>
      <c r="D3" s="6" t="b" cm="1">
        <f t="array" aca="1" ref="D3" ca="1">OFFSET( BoolName, 1, 0, 1, 1)</f>
        <v>0</v>
      </c>
    </row>
    <row r="5" spans="1:4" x14ac:dyDescent="0.2">
      <c r="A5" s="5" t="s">
        <v>43</v>
      </c>
    </row>
    <row r="6" spans="1:4" x14ac:dyDescent="0.2">
      <c r="A6" s="3" t="s">
        <v>45</v>
      </c>
    </row>
  </sheetData>
  <mergeCells count="1">
    <mergeCell ref="C1:D1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2"/>
  <dimension ref="A1"/>
  <sheetViews>
    <sheetView zoomScale="130" zoomScaleNormal="130" workbookViewId="0"/>
  </sheetViews>
  <sheetFormatPr defaultRowHeight="13.6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Key</vt:lpstr>
      <vt:lpstr>List</vt:lpstr>
      <vt:lpstr>Sheet1</vt:lpstr>
      <vt:lpstr>BoolName</vt:lpstr>
      <vt:lpstr>BoolNo</vt:lpstr>
      <vt:lpstr>BoolYes</vt:lpstr>
      <vt:lpstr>CellTypeName</vt:lpstr>
      <vt:lpstr>LNF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2021-01-25T07:04:48Z</dcterms:created>
  <dcterms:modified xsi:type="dcterms:W3CDTF">2021-03-30T15:32:12Z</dcterms:modified>
</cp:coreProperties>
</file>