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StyledWorkbook"/>
  <mc:AlternateContent xmlns:mc="http://schemas.openxmlformats.org/markup-compatibility/2006">
    <mc:Choice Requires="x15">
      <x15ac:absPath xmlns:x15ac="http://schemas.microsoft.com/office/spreadsheetml/2010/11/ac" url="C:\Users\rtaylor\OneDrive\OneDrive - Ashworth Bros., Inc\Important\Templates\"/>
    </mc:Choice>
  </mc:AlternateContent>
  <xr:revisionPtr revIDLastSave="0" documentId="13_ncr:1_{E31E2400-3558-4F0C-A093-812E44DC96BC}" xr6:coauthVersionLast="47" xr6:coauthVersionMax="47" xr10:uidLastSave="{00000000-0000-0000-0000-000000000000}"/>
  <bookViews>
    <workbookView xWindow="29085" yWindow="-120" windowWidth="29040" windowHeight="15840" xr2:uid="{C81C765E-0E7E-4C5D-9923-593A5E687EB8}"/>
  </bookViews>
  <sheets>
    <sheet name="Key" sheetId="2" r:id="rId1"/>
    <sheet name="List" sheetId="1" r:id="rId2"/>
    <sheet name="Sheet1" sheetId="3" r:id="rId3"/>
  </sheets>
  <functionGroups builtInGroupCount="19"/>
  <definedNames>
    <definedName name="_xlpm.b" hidden="1" xlm="1">#NAME?</definedName>
    <definedName name="_xlpm.cact" hidden="1" xlm="1">#NAME?</definedName>
    <definedName name="_xlpm.cell" hidden="1" xlm="1">#NAME?</definedName>
    <definedName name="_xlpm.ched" hidden="1" xlm="1">#NAME?</definedName>
    <definedName name="_xlpm.chky" hidden="1" xlm="1">#NAME?</definedName>
    <definedName name="_xlpm.ckey" hidden="1" xlm="1">#NAME?</definedName>
    <definedName name="_xlpm.f" hidden="1" xlm="1">#NAME?</definedName>
    <definedName name="_xlpm.o" hidden="1" xlm="1">#NAME?</definedName>
    <definedName name="_xlpm.ov" hidden="1" xlm="1">#NAME?</definedName>
    <definedName name="_xlpm.ovn" hidden="1" xlm="1">#NAME?</definedName>
    <definedName name="_xlpm.p" hidden="1" xlm="1">#NAME?</definedName>
    <definedName name="_xlpm.s" hidden="1" xlm="1">#NAME?</definedName>
    <definedName name="_xlpm.use" hidden="1" xlm="1">#NAME?</definedName>
    <definedName name="BoolName">BoolTable[Bool]</definedName>
    <definedName name="BoolYes">BoolValueTable[Y]</definedName>
    <definedName name="CellFontSize_Override">SizeOverrideTable[Cells]</definedName>
    <definedName name="ChangeNormalSize_Override">SizeOverrideTable[ChgNorm]</definedName>
    <definedName name="HeaderFontSize_Override">SizeOverrideTable[Headers]</definedName>
    <definedName name="SetsFont_Override">SizeOverrideTable[Sets Font]</definedName>
    <definedName name="SetsFormat_Override">SizeOverrideTable[Sets Fmt]</definedName>
    <definedName name="TitleFontSize_Override">SizeOverrideTable[Cell Title]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4" i="2" l="1"/>
  <c r="D73" i="2"/>
  <c r="D74" i="2" s="1"/>
  <c r="D72" i="2"/>
  <c r="C68" i="2"/>
  <c r="D66" i="2" s="1"/>
  <c r="D61" i="2"/>
  <c r="D60" i="2"/>
  <c r="P50" i="2" a="1"/>
  <c r="P50" i="2" s="1"/>
  <c r="O50" i="2" a="1"/>
  <c r="O50" i="2" s="1"/>
  <c r="N50" i="2" a="1"/>
  <c r="N50" i="2" s="1"/>
  <c r="G50" i="2"/>
  <c r="P49" i="2" a="1"/>
  <c r="P49" i="2" s="1"/>
  <c r="O49" i="2" a="1"/>
  <c r="O49" i="2" s="1"/>
  <c r="N49" i="2" a="1"/>
  <c r="N49" i="2" s="1"/>
  <c r="G49" i="2"/>
  <c r="P48" i="2" a="1"/>
  <c r="P48" i="2" s="1"/>
  <c r="O48" i="2" a="1"/>
  <c r="O48" i="2" s="1"/>
  <c r="N48" i="2" a="1"/>
  <c r="N48" i="2" s="1"/>
  <c r="G48" i="2"/>
  <c r="P47" i="2" a="1"/>
  <c r="P47" i="2" s="1"/>
  <c r="O47" i="2" a="1"/>
  <c r="O47" i="2" s="1"/>
  <c r="N47" i="2" a="1"/>
  <c r="N47" i="2" s="1"/>
  <c r="G47" i="2"/>
  <c r="P46" i="2" a="1"/>
  <c r="P46" i="2" s="1"/>
  <c r="O46" i="2" a="1"/>
  <c r="O46" i="2" s="1"/>
  <c r="N46" i="2" a="1"/>
  <c r="N46" i="2" s="1"/>
  <c r="G46" i="2"/>
  <c r="P45" i="2" a="1"/>
  <c r="P45" i="2" s="1"/>
  <c r="O45" i="2" a="1"/>
  <c r="O45" i="2" s="1"/>
  <c r="N45" i="2" a="1"/>
  <c r="N45" i="2" s="1"/>
  <c r="G45" i="2"/>
  <c r="P44" i="2" a="1"/>
  <c r="P44" i="2" s="1"/>
  <c r="O44" i="2" a="1"/>
  <c r="O44" i="2" s="1"/>
  <c r="N44" i="2" a="1"/>
  <c r="N44" i="2" s="1"/>
  <c r="G44" i="2"/>
  <c r="P43" i="2" a="1"/>
  <c r="P43" i="2" s="1"/>
  <c r="O43" i="2" a="1"/>
  <c r="O43" i="2" s="1"/>
  <c r="N43" i="2" a="1"/>
  <c r="N43" i="2" s="1"/>
  <c r="G43" i="2"/>
  <c r="P42" i="2" a="1"/>
  <c r="P42" i="2" s="1"/>
  <c r="O42" i="2" a="1"/>
  <c r="O42" i="2" s="1"/>
  <c r="N42" i="2" a="1"/>
  <c r="N42" i="2" s="1"/>
  <c r="G42" i="2"/>
  <c r="P41" i="2" a="1"/>
  <c r="P41" i="2" s="1"/>
  <c r="O41" i="2" a="1"/>
  <c r="O41" i="2" s="1"/>
  <c r="N41" i="2" a="1"/>
  <c r="N41" i="2" s="1"/>
  <c r="G41" i="2"/>
  <c r="P40" i="2" a="1"/>
  <c r="P40" i="2" s="1"/>
  <c r="O40" i="2" a="1"/>
  <c r="O40" i="2" s="1"/>
  <c r="N40" i="2" a="1"/>
  <c r="N40" i="2" s="1"/>
  <c r="G40" i="2"/>
  <c r="P39" i="2" a="1"/>
  <c r="P39" i="2" s="1"/>
  <c r="O39" i="2" a="1"/>
  <c r="O39" i="2" s="1"/>
  <c r="N39" i="2" a="1"/>
  <c r="N39" i="2" s="1"/>
  <c r="G39" i="2"/>
  <c r="P38" i="2" a="1"/>
  <c r="P38" i="2" s="1"/>
  <c r="O38" i="2" a="1"/>
  <c r="O38" i="2" s="1"/>
  <c r="N38" i="2" a="1"/>
  <c r="N38" i="2" s="1"/>
  <c r="G38" i="2"/>
  <c r="P37" i="2" a="1"/>
  <c r="P37" i="2" s="1"/>
  <c r="O37" i="2" a="1"/>
  <c r="O37" i="2" s="1"/>
  <c r="N37" i="2" a="1"/>
  <c r="N37" i="2" s="1"/>
  <c r="G37" i="2"/>
  <c r="P36" i="2" a="1"/>
  <c r="P36" i="2" s="1"/>
  <c r="O36" i="2" a="1"/>
  <c r="O36" i="2" s="1"/>
  <c r="N36" i="2" a="1"/>
  <c r="N36" i="2" s="1"/>
  <c r="G36" i="2"/>
  <c r="P35" i="2" a="1"/>
  <c r="P35" i="2" s="1"/>
  <c r="O35" i="2" a="1"/>
  <c r="O35" i="2" s="1"/>
  <c r="N35" i="2" a="1"/>
  <c r="N35" i="2" s="1"/>
  <c r="G35" i="2"/>
  <c r="P34" i="2" a="1"/>
  <c r="P34" i="2" s="1"/>
  <c r="O34" i="2" a="1"/>
  <c r="O34" i="2" s="1"/>
  <c r="N34" i="2" a="1"/>
  <c r="N34" i="2" s="1"/>
  <c r="G34" i="2"/>
  <c r="P33" i="2" a="1"/>
  <c r="P33" i="2" s="1"/>
  <c r="O33" i="2" a="1"/>
  <c r="O33" i="2" s="1"/>
  <c r="N33" i="2" a="1"/>
  <c r="N33" i="2" s="1"/>
  <c r="G33" i="2"/>
  <c r="P32" i="2" a="1"/>
  <c r="P32" i="2" s="1"/>
  <c r="O32" i="2" a="1"/>
  <c r="O32" i="2" s="1"/>
  <c r="N32" i="2" a="1"/>
  <c r="N32" i="2" s="1"/>
  <c r="G32" i="2"/>
  <c r="P31" i="2" a="1"/>
  <c r="P31" i="2" s="1"/>
  <c r="O31" i="2" a="1"/>
  <c r="O31" i="2" s="1"/>
  <c r="N31" i="2" a="1"/>
  <c r="N31" i="2" s="1"/>
  <c r="G31" i="2"/>
  <c r="P30" i="2" a="1"/>
  <c r="P30" i="2" s="1"/>
  <c r="O30" i="2" a="1"/>
  <c r="O30" i="2" s="1"/>
  <c r="N30" i="2" a="1"/>
  <c r="N30" i="2" s="1"/>
  <c r="G30" i="2"/>
  <c r="P29" i="2" a="1"/>
  <c r="P29" i="2" s="1"/>
  <c r="O29" i="2" a="1"/>
  <c r="O29" i="2" s="1"/>
  <c r="N29" i="2" a="1"/>
  <c r="N29" i="2" s="1"/>
  <c r="G29" i="2"/>
  <c r="P28" i="2" a="1"/>
  <c r="P28" i="2" s="1"/>
  <c r="O28" i="2" a="1"/>
  <c r="O28" i="2" s="1"/>
  <c r="N28" i="2" a="1"/>
  <c r="N28" i="2" s="1"/>
  <c r="G28" i="2"/>
  <c r="P27" i="2" a="1"/>
  <c r="P27" i="2" s="1"/>
  <c r="O27" i="2" a="1"/>
  <c r="O27" i="2" s="1"/>
  <c r="N27" i="2" a="1"/>
  <c r="N27" i="2" s="1"/>
  <c r="G27" i="2"/>
  <c r="P26" i="2" a="1"/>
  <c r="P26" i="2" s="1"/>
  <c r="O26" i="2" a="1"/>
  <c r="O26" i="2" s="1"/>
  <c r="N26" i="2" a="1"/>
  <c r="N26" i="2" s="1"/>
  <c r="G26" i="2"/>
  <c r="P25" i="2" a="1"/>
  <c r="P25" i="2" s="1"/>
  <c r="O25" i="2" a="1"/>
  <c r="O25" i="2" s="1"/>
  <c r="N25" i="2" a="1"/>
  <c r="N25" i="2" s="1"/>
  <c r="G25" i="2"/>
  <c r="P24" i="2" a="1"/>
  <c r="P24" i="2" s="1"/>
  <c r="O24" i="2" a="1"/>
  <c r="O24" i="2" s="1"/>
  <c r="N24" i="2" a="1"/>
  <c r="N24" i="2" s="1"/>
  <c r="G24" i="2"/>
  <c r="P23" i="2" a="1"/>
  <c r="P23" i="2" s="1"/>
  <c r="O23" i="2" a="1"/>
  <c r="O23" i="2" s="1"/>
  <c r="N23" i="2" a="1"/>
  <c r="N23" i="2" s="1"/>
  <c r="G23" i="2"/>
  <c r="P22" i="2" a="1"/>
  <c r="P22" i="2" s="1"/>
  <c r="O22" i="2" a="1"/>
  <c r="O22" i="2" s="1"/>
  <c r="N22" i="2" a="1"/>
  <c r="N22" i="2" s="1"/>
  <c r="G22" i="2"/>
  <c r="P21" i="2" a="1"/>
  <c r="P21" i="2" s="1"/>
  <c r="O21" i="2" a="1"/>
  <c r="O21" i="2" s="1"/>
  <c r="N21" i="2" a="1"/>
  <c r="N21" i="2" s="1"/>
  <c r="G21" i="2"/>
  <c r="P20" i="2" a="1"/>
  <c r="P20" i="2" s="1"/>
  <c r="O20" i="2" a="1"/>
  <c r="O20" i="2" s="1"/>
  <c r="N20" i="2" a="1"/>
  <c r="N20" i="2" s="1"/>
  <c r="G20" i="2"/>
  <c r="P19" i="2" a="1"/>
  <c r="P19" i="2" s="1"/>
  <c r="O19" i="2" a="1"/>
  <c r="O19" i="2" s="1"/>
  <c r="N19" i="2" a="1"/>
  <c r="N19" i="2" s="1"/>
  <c r="G19" i="2"/>
  <c r="P18" i="2" a="1"/>
  <c r="P18" i="2" s="1"/>
  <c r="O18" i="2" a="1"/>
  <c r="O18" i="2" s="1"/>
  <c r="N18" i="2" a="1"/>
  <c r="N18" i="2" s="1"/>
  <c r="G18" i="2"/>
  <c r="P17" i="2" a="1"/>
  <c r="P17" i="2" s="1"/>
  <c r="O17" i="2" a="1"/>
  <c r="O17" i="2" s="1"/>
  <c r="N17" i="2" a="1"/>
  <c r="N17" i="2" s="1"/>
  <c r="G17" i="2"/>
  <c r="P16" i="2" a="1"/>
  <c r="P16" i="2" s="1"/>
  <c r="O16" i="2" a="1"/>
  <c r="O16" i="2" s="1"/>
  <c r="N16" i="2" a="1"/>
  <c r="N16" i="2" s="1"/>
  <c r="G16" i="2"/>
  <c r="P15" i="2" a="1"/>
  <c r="P15" i="2" s="1"/>
  <c r="O15" i="2" a="1"/>
  <c r="O15" i="2" s="1"/>
  <c r="N15" i="2" a="1"/>
  <c r="N15" i="2" s="1"/>
  <c r="G15" i="2"/>
  <c r="P14" i="2" a="1"/>
  <c r="P14" i="2" s="1"/>
  <c r="O14" i="2" a="1"/>
  <c r="O14" i="2" s="1"/>
  <c r="N14" i="2" a="1"/>
  <c r="N14" i="2" s="1"/>
  <c r="G14" i="2"/>
  <c r="P13" i="2" a="1"/>
  <c r="P13" i="2" s="1"/>
  <c r="O13" i="2" a="1"/>
  <c r="O13" i="2" s="1"/>
  <c r="N13" i="2" a="1"/>
  <c r="N13" i="2" s="1"/>
  <c r="G13" i="2"/>
  <c r="P12" i="2" a="1"/>
  <c r="P12" i="2" s="1"/>
  <c r="O12" i="2" a="1"/>
  <c r="O12" i="2" s="1"/>
  <c r="N12" i="2" a="1"/>
  <c r="N12" i="2" s="1"/>
  <c r="G12" i="2"/>
  <c r="P11" i="2" a="1"/>
  <c r="P11" i="2" s="1"/>
  <c r="O11" i="2" a="1"/>
  <c r="O11" i="2" s="1"/>
  <c r="N11" i="2" a="1"/>
  <c r="N11" i="2" s="1"/>
  <c r="G11" i="2"/>
  <c r="P10" i="2" a="1"/>
  <c r="P10" i="2" s="1"/>
  <c r="O10" i="2" a="1"/>
  <c r="O10" i="2" s="1"/>
  <c r="N10" i="2" a="1"/>
  <c r="N10" i="2" s="1"/>
  <c r="G10" i="2"/>
  <c r="P9" i="2" a="1"/>
  <c r="P9" i="2" s="1"/>
  <c r="O9" i="2" a="1"/>
  <c r="O9" i="2" s="1"/>
  <c r="N9" i="2" a="1"/>
  <c r="N9" i="2" s="1"/>
  <c r="G9" i="2"/>
  <c r="P8" i="2" a="1"/>
  <c r="P8" i="2" s="1"/>
  <c r="O8" i="2" a="1"/>
  <c r="O8" i="2" s="1"/>
  <c r="N8" i="2" a="1"/>
  <c r="N8" i="2" s="1"/>
  <c r="G8" i="2"/>
  <c r="P7" i="2" a="1"/>
  <c r="P7" i="2" s="1"/>
  <c r="O7" i="2" a="1"/>
  <c r="O7" i="2" s="1"/>
  <c r="N7" i="2" a="1"/>
  <c r="N7" i="2" s="1"/>
  <c r="G7" i="2"/>
  <c r="P6" i="2" a="1"/>
  <c r="P6" i="2" s="1"/>
  <c r="O6" i="2" a="1"/>
  <c r="O6" i="2" s="1"/>
  <c r="N6" i="2" a="1"/>
  <c r="N6" i="2" s="1"/>
  <c r="G6" i="2"/>
  <c r="P5" i="2" a="1"/>
  <c r="P5" i="2" s="1"/>
  <c r="O5" i="2" a="1"/>
  <c r="O5" i="2" s="1"/>
  <c r="N5" i="2" a="1"/>
  <c r="N5" i="2" s="1"/>
  <c r="G5" i="2"/>
  <c r="P4" i="2" a="1"/>
  <c r="P4" i="2" s="1"/>
  <c r="O4" i="2" a="1"/>
  <c r="O4" i="2" s="1"/>
  <c r="N4" i="2" a="1"/>
  <c r="N4" i="2" s="1"/>
  <c r="G4" i="2"/>
  <c r="P3" i="2" a="1"/>
  <c r="P3" i="2" s="1"/>
  <c r="O3" i="2" a="1"/>
  <c r="O3" i="2" s="1"/>
  <c r="N3" i="2" a="1"/>
  <c r="N3" i="2" s="1"/>
  <c r="G3" i="2"/>
  <c r="G4" i="1"/>
  <c r="F4" i="1"/>
  <c r="E4" i="1" a="1"/>
  <c r="E4" i="1" s="1"/>
  <c r="D4" i="1" a="1"/>
  <c r="D4" i="1" s="1"/>
  <c r="D62" i="2" l="1"/>
  <c r="D67" i="2"/>
  <c r="D68" i="2" s="1"/>
  <c r="U21" i="2" l="1" a="1"/>
  <c r="U21" i="2" s="1"/>
  <c r="U20" i="2" a="1"/>
  <c r="U20" i="2" s="1"/>
  <c r="U12" i="2" a="1"/>
  <c r="U12" i="2" s="1"/>
  <c r="U4" i="2" a="1"/>
  <c r="U4" i="2" s="1"/>
  <c r="U11" i="2" a="1"/>
  <c r="U11" i="2" s="1"/>
  <c r="U5" i="2" a="1"/>
  <c r="U5" i="2" s="1"/>
  <c r="U19" i="2" a="1"/>
  <c r="U19" i="2" s="1"/>
  <c r="U3" i="2" a="1"/>
  <c r="U3" i="2" s="1"/>
  <c r="U18" i="2" a="1"/>
  <c r="U18" i="2" s="1"/>
  <c r="U10" i="2" a="1"/>
  <c r="U10" i="2" s="1"/>
  <c r="U14" i="2" a="1"/>
  <c r="U14" i="2" s="1"/>
  <c r="U17" i="2" a="1"/>
  <c r="U17" i="2" s="1"/>
  <c r="U9" i="2" a="1"/>
  <c r="U9" i="2" s="1"/>
  <c r="U6" i="2" a="1"/>
  <c r="U6" i="2" s="1"/>
  <c r="U16" i="2" a="1"/>
  <c r="U16" i="2" s="1"/>
  <c r="U8" i="2" a="1"/>
  <c r="U8" i="2" s="1"/>
  <c r="U13" i="2" a="1"/>
  <c r="U13" i="2" s="1"/>
  <c r="U15" i="2" a="1"/>
  <c r="U15" i="2" s="1"/>
  <c r="U7" i="2" a="1"/>
  <c r="U7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C24D60C-105D-4D9E-AAF5-0520FDA3CA00}" keepAlive="1" name="Query - CheckList" description="Connection to the 'CheckList' query in the workbook." type="5" refreshedVersion="0" background="1">
    <dbPr connection="Provider=Microsoft.Mashup.OleDb.1;Data Source=$Workbook$;Location=CheckList;Extended Properties=&quot;&quot;" command="SELECT * FROM [CheckList]"/>
  </connection>
  <connection id="2" xr16:uid="{AB44F785-4B84-4FAD-A4B4-1DCB8DC9424D}" keepAlive="1" name="Query - RemoveList" description="Connection to the 'RemoveList' query in the workbook." type="5" refreshedVersion="0" background="1">
    <dbPr connection="Provider=Microsoft.Mashup.OleDb.1;Data Source=$Workbook$;Location=RemoveList;Extended Properties=&quot;&quot;" command="SELECT * FROM [RemoveList]"/>
  </connection>
  <connection id="3" xr16:uid="{00CEE8C7-44FA-44BD-B4B6-154F785C4D1A}" keepAlive="1" name="Query - xlIndex" description="Connection to the 'xlIndex' query in the workbook." type="5" refreshedVersion="0" background="1">
    <dbPr connection="Provider=Microsoft.Mashup.OleDb.1;Data Source=$Workbook$;Location=xlIndex;Extended Properties=&quot;&quot;" command="SELECT * FROM [xlIndex]"/>
  </connection>
  <connection id="4" xr16:uid="{23A1772A-C359-4E1B-A2FC-E134DC8F6F02}" keepAlive="1" name="Query - xlIndex2" description="Connection to the 'xlIndex2' query in the workbook." type="5" refreshedVersion="0" background="1">
    <dbPr connection="Provider=Microsoft.Mashup.OleDb.1;Data Source=$Workbook$;Location=xlIndex2;Extended Properties=&quot;&quot;" command="SELECT * FROM [xlIndex2]"/>
  </connection>
  <connection id="5" xr16:uid="{74E44E88-CF37-4C47-B4E5-0E3BB10A1FB2}" keepAlive="1" name="Query - xlIndex3" description="Connection to the 'xlIndex3' query in the workbook." type="5" refreshedVersion="0" background="1">
    <dbPr connection="Provider=Microsoft.Mashup.OleDb.1;Data Source=$Workbook$;Location=xlIndex3;Extended Properties=&quot;&quot;" command="SELECT * FROM [xlIndex3]"/>
  </connection>
  <connection id="6" xr16:uid="{C97DA11E-3353-42A9-BED1-B95911755426}" keepAlive="1" name="Query - xlName" description="Connection to the 'xlName' query in the workbook." type="5" refreshedVersion="0" background="1">
    <dbPr connection="Provider=Microsoft.Mashup.OleDb.1;Data Source=$Workbook$;Location=xlName;Extended Properties=&quot;&quot;" command="SELECT * FROM [xlName]"/>
  </connection>
  <connection id="7" xr16:uid="{D60EC89B-43F8-4E4E-9150-0639AA08D60E}" keepAlive="1" name="Query - xlTable" description="Connection to the 'xlTable' query in the workbook." type="5" refreshedVersion="0" background="1">
    <dbPr connection="Provider=Microsoft.Mashup.OleDb.1;Data Source=$Workbook$;Location=xlTable;Extended Properties=&quot;&quot;" command="SELECT * FROM [xlTab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<sst xmlns="http://schemas.openxmlformats.org/spreadsheetml/2006/main" count="497" uniqueCount="235">
  <si>
    <t>Boolean Values</t>
  </si>
  <si>
    <t>Size &amp; Property Overrides</t>
  </si>
  <si>
    <t>Bool</t>
  </si>
  <si>
    <t>YN</t>
  </si>
  <si>
    <t>BoolName</t>
  </si>
  <si>
    <t>YNName</t>
  </si>
  <si>
    <t>Cell Title</t>
  </si>
  <si>
    <t>Headers</t>
  </si>
  <si>
    <t>Cells</t>
  </si>
  <si>
    <t>Sets Font</t>
  </si>
  <si>
    <t>Sets Fmt</t>
  </si>
  <si>
    <t>ChgNorm</t>
  </si>
  <si>
    <t>Yes</t>
  </si>
  <si>
    <t>Y</t>
  </si>
  <si>
    <t>N</t>
  </si>
  <si>
    <t>No</t>
  </si>
  <si>
    <t>LNF</t>
  </si>
  <si>
    <t>N/A</t>
  </si>
  <si>
    <t>Table Color Explanations</t>
  </si>
  <si>
    <t>Conditional Formatting</t>
  </si>
  <si>
    <t>Opt</t>
  </si>
  <si>
    <t>Cell Name</t>
  </si>
  <si>
    <t>StyleName</t>
  </si>
  <si>
    <t>Where Used</t>
  </si>
  <si>
    <t>Typing Notes</t>
  </si>
  <si>
    <t>Warnings</t>
  </si>
  <si>
    <t>Fmt Notes</t>
  </si>
  <si>
    <t>Font</t>
  </si>
  <si>
    <t>Fnt</t>
  </si>
  <si>
    <t>Base</t>
  </si>
  <si>
    <t>Pat</t>
  </si>
  <si>
    <t>BOv</t>
  </si>
  <si>
    <t>FOv</t>
  </si>
  <si>
    <t>POv</t>
  </si>
  <si>
    <t>BgClr</t>
  </si>
  <si>
    <t>TxClr</t>
  </si>
  <si>
    <t>PtClr</t>
  </si>
  <si>
    <t>Column1</t>
  </si>
  <si>
    <t>Column2</t>
  </si>
  <si>
    <t>Column3</t>
  </si>
  <si>
    <t>Result</t>
  </si>
  <si>
    <t>UseCol3</t>
  </si>
  <si>
    <t>Calculated Key Header</t>
  </si>
  <si>
    <t>CalcHdKey</t>
  </si>
  <si>
    <t>Table Headers, Total Rows</t>
  </si>
  <si>
    <t>Do not type in this cell</t>
  </si>
  <si>
    <t>Cell will contain a formula or header</t>
  </si>
  <si>
    <t>Txt Fmt</t>
  </si>
  <si>
    <t>B1</t>
  </si>
  <si>
    <t>T2</t>
  </si>
  <si>
    <t>Value</t>
  </si>
  <si>
    <t>Calculated Header</t>
  </si>
  <si>
    <t>CalcHd</t>
  </si>
  <si>
    <t>T1</t>
  </si>
  <si>
    <t>L35</t>
  </si>
  <si>
    <t>BadValue</t>
  </si>
  <si>
    <t>Calculated Key</t>
  </si>
  <si>
    <t>CalcKey</t>
  </si>
  <si>
    <t>Tables, Output Cells</t>
  </si>
  <si>
    <t>Cell will contain a formula</t>
  </si>
  <si>
    <t>B2</t>
  </si>
  <si>
    <t>D25</t>
  </si>
  <si>
    <t>Calculated D/V</t>
  </si>
  <si>
    <t>CalcVal</t>
  </si>
  <si>
    <t>D15</t>
  </si>
  <si>
    <t>Caution</t>
  </si>
  <si>
    <t>Calculated Cell</t>
  </si>
  <si>
    <t>CalcCell</t>
  </si>
  <si>
    <t>D5</t>
  </si>
  <si>
    <t>Deactivated Key Header</t>
  </si>
  <si>
    <t>DeacHdKey</t>
  </si>
  <si>
    <t>Column has been deactivated by a formula</t>
  </si>
  <si>
    <t>Pattern Set, Txt Fmt</t>
  </si>
  <si>
    <t>Deactivated Header</t>
  </si>
  <si>
    <t>DeacHd</t>
  </si>
  <si>
    <t>L50</t>
  </si>
  <si>
    <t>Deactivated Cell</t>
  </si>
  <si>
    <t>DeacCell</t>
  </si>
  <si>
    <t>Tables, Input Cells, Output Cells</t>
  </si>
  <si>
    <t>Cell has been deactivated by a formula</t>
  </si>
  <si>
    <t>Active Disabled</t>
  </si>
  <si>
    <t>ActDeac</t>
  </si>
  <si>
    <t>Pattern Set, Italics</t>
  </si>
  <si>
    <t>Box Title (16 pt Font)</t>
  </si>
  <si>
    <t>BoxTitle</t>
  </si>
  <si>
    <t>Top of Sheets, Tables, &amp; Objects</t>
  </si>
  <si>
    <t>Cell will contain a header</t>
  </si>
  <si>
    <t>Cent HV, 16 Pt, Txt Fmt</t>
  </si>
  <si>
    <t>A1</t>
  </si>
  <si>
    <t>D50</t>
  </si>
  <si>
    <t>Box Key Header</t>
  </si>
  <si>
    <t>BoxHdKey</t>
  </si>
  <si>
    <t>Centered HV, Txt Fmt</t>
  </si>
  <si>
    <t>Box Header</t>
  </si>
  <si>
    <t>BoxHd</t>
  </si>
  <si>
    <t>Box Key</t>
  </si>
  <si>
    <t>BoxKey</t>
  </si>
  <si>
    <t>Sheet, Table, &amp; Object Options</t>
  </si>
  <si>
    <t>Type in this cell</t>
  </si>
  <si>
    <t>None</t>
  </si>
  <si>
    <t>Centered HV</t>
  </si>
  <si>
    <t>Box D/V</t>
  </si>
  <si>
    <t>BoxVal</t>
  </si>
  <si>
    <t>L60</t>
  </si>
  <si>
    <t>Box Cell</t>
  </si>
  <si>
    <t>BoxCell</t>
  </si>
  <si>
    <t>L80</t>
  </si>
  <si>
    <t>Active Note</t>
  </si>
  <si>
    <t>ActBox</t>
  </si>
  <si>
    <t>Notes and Instructions</t>
  </si>
  <si>
    <t>Cell will contain information</t>
  </si>
  <si>
    <t>Cent HV, P Set, Ital, Txt Fmt</t>
  </si>
  <si>
    <t>Input Key Header</t>
  </si>
  <si>
    <t>InpHdKey</t>
  </si>
  <si>
    <t>A2</t>
  </si>
  <si>
    <t>Input Header</t>
  </si>
  <si>
    <t>InpHd</t>
  </si>
  <si>
    <t>Input Key</t>
  </si>
  <si>
    <t>InpKey</t>
  </si>
  <si>
    <t>Tables, Input Cells</t>
  </si>
  <si>
    <t>Input Date</t>
  </si>
  <si>
    <t>InpDate</t>
  </si>
  <si>
    <t>Date Format</t>
  </si>
  <si>
    <t>Input Value</t>
  </si>
  <si>
    <t>InpVal</t>
  </si>
  <si>
    <t>Input Cell</t>
  </si>
  <si>
    <t>InpCell</t>
  </si>
  <si>
    <t>Active Missing</t>
  </si>
  <si>
    <t>ActMiss</t>
  </si>
  <si>
    <t>Data Required</t>
  </si>
  <si>
    <t>Error Key Header</t>
  </si>
  <si>
    <t>ErrHdKey</t>
  </si>
  <si>
    <t>A3</t>
  </si>
  <si>
    <t>Error Header</t>
  </si>
  <si>
    <t>ErrHd</t>
  </si>
  <si>
    <t>Table Headers</t>
  </si>
  <si>
    <t>Cell in this column has an error</t>
  </si>
  <si>
    <t>Error Key</t>
  </si>
  <si>
    <t>ErrKey</t>
  </si>
  <si>
    <t>Cell in this row has an error</t>
  </si>
  <si>
    <t>Error D/V</t>
  </si>
  <si>
    <t>ErrVal</t>
  </si>
  <si>
    <t>A related cell has an error</t>
  </si>
  <si>
    <t>Error Cell</t>
  </si>
  <si>
    <t>ErrCell</t>
  </si>
  <si>
    <t>Active Error</t>
  </si>
  <si>
    <t>ActError</t>
  </si>
  <si>
    <t>Tables</t>
  </si>
  <si>
    <t>This cell has an error</t>
  </si>
  <si>
    <t>Lookup Key Header</t>
  </si>
  <si>
    <t>LkpHdKey</t>
  </si>
  <si>
    <t>A4</t>
  </si>
  <si>
    <t>Lookup Header</t>
  </si>
  <si>
    <t>LkpHd</t>
  </si>
  <si>
    <t>Lookup Key</t>
  </si>
  <si>
    <t>LkpKey</t>
  </si>
  <si>
    <t>Tables, Reference Cells</t>
  </si>
  <si>
    <t>Cell contains referenced data</t>
  </si>
  <si>
    <t>Lookup Date</t>
  </si>
  <si>
    <t>LkpDate</t>
  </si>
  <si>
    <t>Cell contains a referenced value</t>
  </si>
  <si>
    <t>Lookup Value</t>
  </si>
  <si>
    <t>LkpVal</t>
  </si>
  <si>
    <t>Lookup Cell</t>
  </si>
  <si>
    <t>LkpCell</t>
  </si>
  <si>
    <t>Active Lookup Not Found</t>
  </si>
  <si>
    <t>ActFind</t>
  </si>
  <si>
    <t>Query Key Header</t>
  </si>
  <si>
    <t>QueHdKey</t>
  </si>
  <si>
    <t>A5</t>
  </si>
  <si>
    <t>Query Header</t>
  </si>
  <si>
    <t>QueHd</t>
  </si>
  <si>
    <t>Query Key</t>
  </si>
  <si>
    <t>QueKey</t>
  </si>
  <si>
    <t>Cell will contain a formula or query output</t>
  </si>
  <si>
    <t>Query D/V</t>
  </si>
  <si>
    <t>QueVal</t>
  </si>
  <si>
    <t>Query Cell</t>
  </si>
  <si>
    <t>QueCell</t>
  </si>
  <si>
    <t>Active Good</t>
  </si>
  <si>
    <t>ActGood</t>
  </si>
  <si>
    <t>L40</t>
  </si>
  <si>
    <t>Internal Key Header</t>
  </si>
  <si>
    <t>IntHdKey</t>
  </si>
  <si>
    <t>Cell changes may cause loss of functionality</t>
  </si>
  <si>
    <t>A6</t>
  </si>
  <si>
    <t>Internal Header</t>
  </si>
  <si>
    <t>IntHd</t>
  </si>
  <si>
    <t>Internal Key</t>
  </si>
  <si>
    <t>IntKey</t>
  </si>
  <si>
    <t>Internal D/V</t>
  </si>
  <si>
    <t>IntVal</t>
  </si>
  <si>
    <t>Internal Cell</t>
  </si>
  <si>
    <t>IntCell</t>
  </si>
  <si>
    <t>Internal Note</t>
  </si>
  <si>
    <t>ActNote</t>
  </si>
  <si>
    <t>Tables, Output Cells, Labels</t>
  </si>
  <si>
    <t>P Set, Ital, Txt Fmt</t>
  </si>
  <si>
    <t>Other Cell Styles</t>
  </si>
  <si>
    <t>Normal</t>
  </si>
  <si>
    <t>xCond</t>
  </si>
  <si>
    <t>xMono</t>
  </si>
  <si>
    <t>HyperLink</t>
  </si>
  <si>
    <t>Standard Text</t>
  </si>
  <si>
    <t>Tight Text</t>
  </si>
  <si>
    <t>Monospaced Text</t>
  </si>
  <si>
    <t>#0563C1 B,UL Bahnschrift 11pt</t>
  </si>
  <si>
    <t>Bahnschrift 11pt</t>
  </si>
  <si>
    <t>Bahnschrift Condensed 11pt</t>
  </si>
  <si>
    <t>OCRB 11pt</t>
  </si>
  <si>
    <t>Followed Hyperlink</t>
  </si>
  <si>
    <t>Sets Font Only</t>
  </si>
  <si>
    <t>#954F72 B,UL Bahnschrift 11pt</t>
  </si>
  <si>
    <t>Lookup Table</t>
  </si>
  <si>
    <t>LookupKey1</t>
  </si>
  <si>
    <t>LookupColumn2</t>
  </si>
  <si>
    <t>CalcColumn</t>
  </si>
  <si>
    <t>KeyCell 1</t>
  </si>
  <si>
    <t>Lookup Referenced Value</t>
  </si>
  <si>
    <t>KeyCell 2</t>
  </si>
  <si>
    <t>Total:</t>
  </si>
  <si>
    <t>Internal Table</t>
  </si>
  <si>
    <t>Key1</t>
  </si>
  <si>
    <t>Internal2</t>
  </si>
  <si>
    <t>CalcColumn3</t>
  </si>
  <si>
    <t>IntKey 1</t>
  </si>
  <si>
    <t>IntKey 2</t>
  </si>
  <si>
    <t>Query Table</t>
  </si>
  <si>
    <t>QueryKey1</t>
  </si>
  <si>
    <t>QueryColumn2</t>
  </si>
  <si>
    <t>QueKey 1</t>
  </si>
  <si>
    <t>Query Value</t>
  </si>
  <si>
    <t>QueKey 2</t>
  </si>
  <si>
    <t>Query Error</t>
  </si>
  <si>
    <t>Added Title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</si>
</sst>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\-dd\-yy"/>
  </numFmts>
  <fonts count="46" x14ac:knownFonts="1">
    <font>
      <sz val="11"/>
      <name val="Bahnschrift"/>
      <family val="2"/>
      <scheme val="major"/>
    </font>
    <font>
      <sz val="11"/>
      <color theme="1"/>
      <name val="OCRB"/>
      <family val="2"/>
    </font>
    <font>
      <b/>
      <sz val="15"/>
      <color theme="3"/>
      <name val="OCRB"/>
      <family val="2"/>
    </font>
    <font>
      <b/>
      <sz val="13"/>
      <color theme="3"/>
      <name val="OCRB"/>
      <family val="2"/>
    </font>
    <font>
      <b/>
      <sz val="11"/>
      <color theme="3"/>
      <name val="OCRB"/>
      <family val="2"/>
    </font>
    <font>
      <sz val="11"/>
      <color rgb="FF006100"/>
      <name val="OCRB"/>
      <family val="2"/>
    </font>
    <font>
      <sz val="11"/>
      <color rgb="FF9C0006"/>
      <name val="OCRB"/>
      <family val="2"/>
    </font>
    <font>
      <sz val="11"/>
      <color rgb="FF9C5700"/>
      <name val="OCRB"/>
      <family val="2"/>
    </font>
    <font>
      <sz val="11"/>
      <color rgb="FF3F3F76"/>
      <name val="OCRB"/>
      <family val="2"/>
    </font>
    <font>
      <b/>
      <sz val="11"/>
      <color rgb="FF3F3F3F"/>
      <name val="OCRB"/>
      <family val="2"/>
    </font>
    <font>
      <b/>
      <sz val="11"/>
      <color rgb="FFFA7D00"/>
      <name val="OCRB"/>
      <family val="2"/>
    </font>
    <font>
      <sz val="11"/>
      <color rgb="FFFA7D00"/>
      <name val="OCRB"/>
      <family val="2"/>
    </font>
    <font>
      <b/>
      <sz val="11"/>
      <color theme="0"/>
      <name val="OCRB"/>
      <family val="2"/>
    </font>
    <font>
      <sz val="11"/>
      <color rgb="FFFF0000"/>
      <name val="OCRB"/>
      <family val="2"/>
    </font>
    <font>
      <i/>
      <sz val="11"/>
      <color rgb="FF7F7F7F"/>
      <name val="OCRB"/>
      <family val="2"/>
    </font>
    <font>
      <b/>
      <sz val="11"/>
      <color theme="1"/>
      <name val="OCRB"/>
      <family val="2"/>
    </font>
    <font>
      <sz val="11"/>
      <color theme="0"/>
      <name val="OCRB"/>
      <family val="2"/>
    </font>
    <font>
      <sz val="16"/>
      <color theme="4" tint="0.79992065187536243"/>
      <name val="Bahnschrift"/>
      <family val="2"/>
      <scheme val="major"/>
    </font>
    <font>
      <i/>
      <sz val="11"/>
      <color theme="9" tint="-0.499984740745262"/>
      <name val="Bahnschrift"/>
      <family val="2"/>
      <scheme val="major"/>
    </font>
    <font>
      <sz val="11"/>
      <color theme="4" tint="0.79995117038483843"/>
      <name val="Bahnschrift"/>
      <family val="2"/>
      <scheme val="major"/>
    </font>
    <font>
      <sz val="11"/>
      <color theme="7" tint="0.79998168889431442"/>
      <name val="Bahnschrift"/>
      <family val="2"/>
      <scheme val="major"/>
    </font>
    <font>
      <sz val="11"/>
      <color theme="1"/>
      <name val="Bahnschrift"/>
      <family val="2"/>
      <scheme val="major"/>
    </font>
    <font>
      <i/>
      <sz val="11"/>
      <color theme="4" tint="-0.499984740745262"/>
      <name val="Bahnschrift"/>
      <family val="2"/>
      <scheme val="major"/>
    </font>
    <font>
      <i/>
      <sz val="11"/>
      <color theme="0" tint="-0.499984740745262"/>
      <name val="Bahnschrift"/>
      <family val="2"/>
      <scheme val="major"/>
    </font>
    <font>
      <i/>
      <sz val="11"/>
      <color theme="6" tint="-0.499984740745262"/>
      <name val="Bahnschrift"/>
      <family val="2"/>
      <scheme val="major"/>
    </font>
    <font>
      <i/>
      <sz val="11"/>
      <color theme="7" tint="-0.499984740745262"/>
      <name val="Bahnschrift"/>
      <family val="2"/>
      <scheme val="major"/>
    </font>
    <font>
      <i/>
      <sz val="11"/>
      <color theme="8" tint="-0.499984740745262"/>
      <name val="Bahnschrift"/>
      <family val="2"/>
      <scheme val="major"/>
    </font>
    <font>
      <i/>
      <sz val="11"/>
      <color theme="5" tint="-0.499984740745262"/>
      <name val="Bahnschrift"/>
      <family val="2"/>
      <scheme val="major"/>
    </font>
    <font>
      <sz val="11"/>
      <color theme="4" tint="-0.499984740745262"/>
      <name val="Bahnschrift"/>
      <family val="2"/>
      <scheme val="major"/>
    </font>
    <font>
      <sz val="11"/>
      <color theme="4" tint="-0.499984740745262"/>
      <name val="OCRB"/>
      <family val="3"/>
    </font>
    <font>
      <sz val="11"/>
      <color theme="3"/>
      <name val="Bahnschrift"/>
      <family val="2"/>
      <scheme val="major"/>
    </font>
    <font>
      <sz val="11"/>
      <color theme="0" tint="0.79998168889431442"/>
      <name val="Bahnschrift"/>
      <family val="2"/>
      <scheme val="major"/>
    </font>
    <font>
      <sz val="11"/>
      <color theme="3"/>
      <name val="OCRB"/>
      <family val="3"/>
    </font>
    <font>
      <sz val="11"/>
      <color theme="0" tint="-0.249977111117893"/>
      <name val="Bahnschrift"/>
      <family val="2"/>
      <scheme val="major"/>
    </font>
    <font>
      <sz val="11"/>
      <color theme="1" tint="0.499984740745262"/>
      <name val="Bahnschrift"/>
      <family val="2"/>
      <scheme val="major"/>
    </font>
    <font>
      <sz val="11"/>
      <color theme="6" tint="0.79998168889431442"/>
      <name val="Bahnschrift"/>
      <family val="2"/>
      <scheme val="major"/>
    </font>
    <font>
      <sz val="11"/>
      <color theme="1"/>
      <name val="OCRB"/>
      <family val="3"/>
    </font>
    <font>
      <b/>
      <u val="double"/>
      <sz val="11"/>
      <color rgb="FF7030A0"/>
      <name val="Bahnschrift"/>
      <family val="2"/>
      <scheme val="major"/>
    </font>
    <font>
      <b/>
      <u val="double"/>
      <sz val="11"/>
      <color rgb="FF00B0F0"/>
      <name val="Bahnschrift"/>
      <family val="2"/>
      <scheme val="major"/>
    </font>
    <font>
      <sz val="11"/>
      <color theme="5" tint="0.79998168889431442"/>
      <name val="Bahnschrift"/>
      <family val="2"/>
      <scheme val="major"/>
    </font>
    <font>
      <sz val="11"/>
      <color theme="9" tint="0.79998168889431442"/>
      <name val="Bahnschrift"/>
      <family val="2"/>
      <scheme val="major"/>
    </font>
    <font>
      <sz val="11"/>
      <color theme="8" tint="0.79998168889431442"/>
      <name val="Bahnschrift"/>
      <family val="2"/>
      <scheme val="major"/>
    </font>
    <font>
      <sz val="11"/>
      <color theme="1"/>
      <name val="Bahnschrift"/>
      <family val="2"/>
      <scheme val="minor"/>
    </font>
    <font>
      <sz val="11"/>
      <color theme="4" tint="0.79992065187536243"/>
      <name val="Bahnschrift"/>
      <family val="2"/>
      <scheme val="major"/>
    </font>
    <font>
      <sz val="16"/>
      <color theme="3"/>
      <name val="Bahnschrift"/>
      <family val="2"/>
      <scheme val="major"/>
    </font>
    <font>
      <sz val="12"/>
      <color rgb="FF000000"/>
      <name val="Bahnschrift"/>
      <family val="2"/>
    </font>
  </fonts>
  <fills count="8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-0.499984740745262"/>
        <bgColor indexed="64"/>
      </patternFill>
    </fill>
    <fill>
      <patternFill patternType="darkDown">
        <fgColor theme="9" tint="0.79995117038483843"/>
        <bgColor theme="9" tint="0.59996337778862885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darkDown">
        <fgColor theme="4" tint="0.79992065187536243"/>
        <bgColor theme="4" tint="0.59996337778862885"/>
      </patternFill>
    </fill>
    <fill>
      <patternFill patternType="darkDown">
        <fgColor theme="1" tint="0.34998626667073579"/>
        <bgColor theme="0"/>
      </patternFill>
    </fill>
    <fill>
      <patternFill patternType="darkDown">
        <fgColor theme="6" tint="0.79992065187536243"/>
        <bgColor theme="6" tint="0.59996337778862885"/>
      </patternFill>
    </fill>
    <fill>
      <patternFill patternType="darkDown">
        <fgColor theme="7" tint="0.79998168889431442"/>
        <bgColor theme="7"/>
      </patternFill>
    </fill>
    <fill>
      <patternFill patternType="darkDown">
        <fgColor theme="8" tint="0.79995117038483843"/>
        <bgColor theme="8" tint="0.39994506668294322"/>
      </patternFill>
    </fill>
    <fill>
      <patternFill patternType="darkDown">
        <fgColor theme="5" tint="0.79998168889431442"/>
        <bgColor theme="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2" tint="-0.14996795556505021"/>
        <bgColor indexed="64"/>
      </patternFill>
    </fill>
    <fill>
      <patternFill patternType="darkDown">
        <fgColor theme="0"/>
        <bgColor theme="0"/>
      </patternFill>
    </fill>
    <fill>
      <patternFill patternType="darkDown">
        <fgColor theme="3"/>
        <bgColor theme="3" tint="-0.49998474074526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darkDown">
        <fgColor theme="1"/>
        <bgColor theme="6" tint="-0.499984740745262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rgb="FFB686DA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99">
    <xf numFmtId="0" fontId="0" fillId="0" borderId="0" applyNumberFormat="0" applyBorder="0" applyAlignment="0" applyProtection="0"/>
    <xf numFmtId="43" fontId="1" fillId="0" borderId="0" applyNumberFormat="0" applyFill="0" applyBorder="0" applyAlignment="0" applyProtection="0"/>
    <xf numFmtId="41" fontId="1" fillId="0" borderId="0" applyNumberFormat="0" applyFill="0" applyBorder="0" applyAlignment="0" applyProtection="0"/>
    <xf numFmtId="44" fontId="1" fillId="0" borderId="0" applyNumberFormat="0" applyFill="0" applyBorder="0" applyAlignment="0" applyProtection="0"/>
    <xf numFmtId="42" fontId="1" fillId="0" borderId="0" applyNumberFormat="0" applyFill="0" applyBorder="0" applyAlignment="0" applyProtection="0"/>
    <xf numFmtId="9" fontId="1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9" fontId="17" fillId="33" borderId="10" applyNumberFormat="0">
      <alignment horizontal="center" vertical="center"/>
    </xf>
    <xf numFmtId="49" fontId="18" fillId="34" borderId="10" applyNumberFormat="0" applyAlignment="0"/>
    <xf numFmtId="49" fontId="19" fillId="35" borderId="10" applyNumberFormat="0">
      <alignment horizontal="center" vertical="center"/>
    </xf>
    <xf numFmtId="49" fontId="20" fillId="36" borderId="10" applyNumberFormat="0" applyAlignment="0"/>
    <xf numFmtId="0" fontId="21" fillId="37" borderId="10" applyNumberFormat="0" applyAlignment="0"/>
    <xf numFmtId="49" fontId="22" fillId="41" borderId="10" applyNumberFormat="0">
      <alignment horizontal="center" vertical="center"/>
    </xf>
    <xf numFmtId="0" fontId="23" fillId="42" borderId="10" applyNumberFormat="0" applyAlignment="0"/>
    <xf numFmtId="0" fontId="24" fillId="43" borderId="10" applyNumberFormat="0" applyAlignment="0"/>
    <xf numFmtId="0" fontId="25" fillId="44" borderId="10" applyNumberFormat="0" applyAlignment="0">
      <protection locked="0"/>
    </xf>
    <xf numFmtId="0" fontId="26" fillId="45" borderId="10" applyNumberFormat="0" applyAlignment="0"/>
    <xf numFmtId="0" fontId="27" fillId="46" borderId="10" applyNumberFormat="0" applyAlignment="0">
      <protection locked="0"/>
    </xf>
    <xf numFmtId="0" fontId="28" fillId="47" borderId="10" applyNumberFormat="0" applyProtection="0">
      <alignment horizontal="center" vertical="center"/>
    </xf>
    <xf numFmtId="49" fontId="19" fillId="33" borderId="10" applyNumberFormat="0">
      <alignment horizontal="center" vertical="center"/>
    </xf>
    <xf numFmtId="0" fontId="28" fillId="48" borderId="10" applyNumberFormat="0" applyProtection="0">
      <alignment horizontal="center" vertical="center"/>
    </xf>
    <xf numFmtId="0" fontId="29" fillId="49" borderId="10" applyNumberFormat="0" applyProtection="0">
      <alignment horizontal="center" vertical="center"/>
    </xf>
    <xf numFmtId="0" fontId="30" fillId="50" borderId="10" applyNumberFormat="0" applyAlignment="0"/>
    <xf numFmtId="49" fontId="31" fillId="51" borderId="10" applyNumberFormat="0" applyAlignment="0"/>
    <xf numFmtId="49" fontId="31" fillId="52" borderId="10" applyNumberFormat="0" applyAlignment="0"/>
    <xf numFmtId="0" fontId="30" fillId="53" borderId="10" applyNumberFormat="0" applyAlignment="0"/>
    <xf numFmtId="0" fontId="32" fillId="54" borderId="10" applyNumberFormat="0" applyAlignment="0"/>
    <xf numFmtId="0" fontId="33" fillId="55" borderId="10" applyNumberFormat="0" applyAlignment="0"/>
    <xf numFmtId="0" fontId="34" fillId="51" borderId="10" applyNumberFormat="0" applyAlignment="0"/>
    <xf numFmtId="49" fontId="33" fillId="56" borderId="10" applyNumberFormat="0" applyAlignment="0"/>
    <xf numFmtId="0" fontId="21" fillId="57" borderId="10" applyNumberFormat="0" applyAlignment="0"/>
    <xf numFmtId="0" fontId="35" fillId="58" borderId="10" applyNumberFormat="0" applyAlignment="0"/>
    <xf numFmtId="49" fontId="35" fillId="59" borderId="10" applyNumberFormat="0" applyAlignment="0"/>
    <xf numFmtId="0" fontId="21" fillId="60" borderId="10" applyNumberFormat="0" applyAlignment="0"/>
    <xf numFmtId="0" fontId="36" fillId="61" borderId="10" applyNumberFormat="0" applyAlignment="0"/>
    <xf numFmtId="0" fontId="37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21" fillId="62" borderId="10" applyNumberFormat="0" applyAlignment="0">
      <protection locked="0"/>
    </xf>
    <xf numFmtId="164" fontId="36" fillId="63" borderId="10" applyNumberFormat="0" applyAlignment="0">
      <protection locked="0"/>
    </xf>
    <xf numFmtId="49" fontId="39" fillId="64" borderId="10" applyNumberFormat="0" applyAlignment="0"/>
    <xf numFmtId="49" fontId="39" fillId="65" borderId="10" applyNumberFormat="0" applyAlignment="0"/>
    <xf numFmtId="0" fontId="21" fillId="66" borderId="10" applyNumberFormat="0" applyAlignment="0">
      <protection locked="0"/>
    </xf>
    <xf numFmtId="0" fontId="36" fillId="63" borderId="10" applyNumberFormat="0" applyAlignment="0">
      <alignment horizontal="left"/>
      <protection locked="0"/>
    </xf>
    <xf numFmtId="0" fontId="21" fillId="40" borderId="10" applyNumberFormat="0" applyAlignment="0"/>
    <xf numFmtId="49" fontId="40" fillId="67" borderId="10" applyNumberFormat="0" applyAlignment="0"/>
    <xf numFmtId="49" fontId="40" fillId="38" borderId="10" applyNumberFormat="0" applyAlignment="0"/>
    <xf numFmtId="0" fontId="21" fillId="39" borderId="10" applyNumberFormat="0" applyAlignment="0"/>
    <xf numFmtId="0" fontId="36" fillId="68" borderId="10" applyNumberFormat="0" applyAlignment="0"/>
    <xf numFmtId="0" fontId="21" fillId="69" borderId="10" applyNumberFormat="0" applyAlignment="0"/>
    <xf numFmtId="164" fontId="36" fillId="70" borderId="10" applyNumberFormat="0" applyAlignment="0">
      <alignment horizontal="left"/>
    </xf>
    <xf numFmtId="49" fontId="20" fillId="71" borderId="10" applyNumberFormat="0" applyAlignment="0"/>
    <xf numFmtId="0" fontId="36" fillId="70" borderId="10" applyNumberFormat="0" applyAlignment="0">
      <alignment horizontal="left"/>
    </xf>
    <xf numFmtId="0" fontId="21" fillId="72" borderId="10" applyNumberFormat="0" applyAlignment="0"/>
    <xf numFmtId="49" fontId="41" fillId="73" borderId="10" applyNumberFormat="0" applyAlignment="0"/>
    <xf numFmtId="49" fontId="41" fillId="74" borderId="10" applyNumberFormat="0" applyAlignment="0"/>
    <xf numFmtId="0" fontId="21" fillId="75" borderId="10" applyNumberFormat="0" applyAlignment="0"/>
    <xf numFmtId="0" fontId="36" fillId="76" borderId="10" applyNumberFormat="0" applyAlignment="0"/>
    <xf numFmtId="0" fontId="42" fillId="77" borderId="10" applyNumberFormat="0" applyFill="0" applyBorder="0" applyAlignment="0" applyProtection="0"/>
    <xf numFmtId="0" fontId="36" fillId="77" borderId="10" applyNumberFormat="0" applyFill="0" applyBorder="0" applyAlignment="0" applyProtection="0"/>
  </cellStyleXfs>
  <cellXfs count="121">
    <xf numFmtId="0" fontId="0" fillId="0" borderId="0" xfId="0"/>
    <xf numFmtId="0" fontId="0" fillId="0" borderId="0" xfId="0" applyAlignment="1">
      <alignment horizontal="center"/>
    </xf>
    <xf numFmtId="49" fontId="20" fillId="36" borderId="10" xfId="50" applyAlignment="1">
      <alignment horizontal="center"/>
    </xf>
    <xf numFmtId="0" fontId="21" fillId="37" borderId="10" xfId="51" applyAlignment="1">
      <alignment horizontal="center"/>
    </xf>
    <xf numFmtId="49" fontId="17" fillId="33" borderId="17" xfId="47" applyBorder="1">
      <alignment horizontal="center" vertical="center"/>
    </xf>
    <xf numFmtId="49" fontId="31" fillId="52" borderId="10" xfId="64"/>
    <xf numFmtId="0" fontId="30" fillId="50" borderId="10" xfId="62"/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9" xfId="0" applyBorder="1" applyAlignment="1">
      <alignment horizontal="center"/>
    </xf>
    <xf numFmtId="0" fontId="32" fillId="54" borderId="13" xfId="66" applyBorder="1" applyAlignment="1">
      <alignment horizontal="left"/>
    </xf>
    <xf numFmtId="0" fontId="32" fillId="54" borderId="10" xfId="66" applyAlignment="1">
      <alignment horizontal="left"/>
    </xf>
    <xf numFmtId="0" fontId="32" fillId="54" borderId="10" xfId="66" applyAlignment="1">
      <alignment horizontal="center"/>
    </xf>
    <xf numFmtId="49" fontId="31" fillId="51" borderId="10" xfId="63"/>
    <xf numFmtId="0" fontId="32" fillId="54" borderId="10" xfId="66"/>
    <xf numFmtId="0" fontId="30" fillId="53" borderId="10" xfId="65"/>
    <xf numFmtId="0" fontId="30" fillId="50" borderId="10" xfId="62" applyNumberFormat="1"/>
    <xf numFmtId="0" fontId="0" fillId="0" borderId="20" xfId="0" applyBorder="1"/>
    <xf numFmtId="0" fontId="30" fillId="50" borderId="21" xfId="62" applyBorder="1"/>
    <xf numFmtId="0" fontId="0" fillId="0" borderId="22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32" fillId="54" borderId="24" xfId="66" applyBorder="1" applyAlignment="1">
      <alignment horizontal="left"/>
    </xf>
    <xf numFmtId="0" fontId="32" fillId="54" borderId="25" xfId="66" applyBorder="1" applyAlignment="1">
      <alignment horizontal="left"/>
    </xf>
    <xf numFmtId="0" fontId="32" fillId="54" borderId="25" xfId="66" applyBorder="1"/>
    <xf numFmtId="49" fontId="33" fillId="56" borderId="10" xfId="69"/>
    <xf numFmtId="0" fontId="30" fillId="50" borderId="26" xfId="62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32" fillId="54" borderId="30" xfId="66" applyBorder="1" applyAlignment="1">
      <alignment horizontal="left"/>
    </xf>
    <xf numFmtId="0" fontId="32" fillId="54" borderId="26" xfId="66" applyBorder="1" applyAlignment="1">
      <alignment horizontal="left"/>
    </xf>
    <xf numFmtId="0" fontId="32" fillId="54" borderId="26" xfId="66" applyBorder="1"/>
    <xf numFmtId="0" fontId="34" fillId="51" borderId="10" xfId="68"/>
    <xf numFmtId="0" fontId="33" fillId="55" borderId="10" xfId="67"/>
    <xf numFmtId="0" fontId="23" fillId="42" borderId="10" xfId="53"/>
    <xf numFmtId="49" fontId="43" fillId="33" borderId="10" xfId="47" applyFont="1" applyAlignment="1">
      <alignment horizontal="left"/>
    </xf>
    <xf numFmtId="0" fontId="0" fillId="0" borderId="0" xfId="0" applyBorder="1"/>
    <xf numFmtId="49" fontId="19" fillId="33" borderId="10" xfId="59" applyAlignment="1">
      <alignment vertical="center"/>
    </xf>
    <xf numFmtId="0" fontId="19" fillId="35" borderId="10" xfId="49" applyNumberFormat="1" applyAlignment="1">
      <alignment horizontal="left" vertical="center"/>
    </xf>
    <xf numFmtId="49" fontId="19" fillId="35" borderId="10" xfId="49" applyAlignment="1">
      <alignment horizontal="left" vertical="center"/>
    </xf>
    <xf numFmtId="0" fontId="28" fillId="48" borderId="10" xfId="60" applyAlignment="1">
      <alignment vertical="center"/>
    </xf>
    <xf numFmtId="0" fontId="0" fillId="0" borderId="31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0" fontId="29" fillId="49" borderId="10" xfId="61" applyNumberFormat="1" applyAlignment="1">
      <alignment horizontal="left" vertical="center"/>
    </xf>
    <xf numFmtId="0" fontId="29" fillId="49" borderId="10" xfId="61" applyAlignment="1"/>
    <xf numFmtId="0" fontId="28" fillId="47" borderId="10" xfId="58" applyAlignment="1">
      <alignment horizontal="left"/>
    </xf>
    <xf numFmtId="0" fontId="28" fillId="47" borderId="10" xfId="58" applyAlignment="1">
      <alignment horizontal="left" vertical="center"/>
    </xf>
    <xf numFmtId="49" fontId="22" fillId="41" borderId="10" xfId="52" applyAlignment="1">
      <alignment horizontal="left" vertical="center"/>
    </xf>
    <xf numFmtId="0" fontId="0" fillId="0" borderId="33" xfId="0" applyBorder="1"/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32" fillId="54" borderId="24" xfId="66" applyNumberFormat="1" applyBorder="1" applyAlignment="1">
      <alignment horizontal="left"/>
    </xf>
    <xf numFmtId="49" fontId="39" fillId="65" borderId="10" xfId="80"/>
    <xf numFmtId="49" fontId="39" fillId="64" borderId="10" xfId="79"/>
    <xf numFmtId="0" fontId="21" fillId="66" borderId="10" xfId="81">
      <protection locked="0"/>
    </xf>
    <xf numFmtId="164" fontId="36" fillId="63" borderId="10" xfId="78" applyAlignment="1">
      <protection locked="0"/>
    </xf>
    <xf numFmtId="0" fontId="36" fillId="63" borderId="10" xfId="82" applyNumberFormat="1" applyAlignment="1">
      <alignment horizontal="left"/>
      <protection locked="0"/>
    </xf>
    <xf numFmtId="0" fontId="36" fillId="63" borderId="10" xfId="82" applyAlignment="1">
      <protection locked="0"/>
    </xf>
    <xf numFmtId="0" fontId="21" fillId="62" borderId="10" xfId="77" applyNumberFormat="1">
      <protection locked="0"/>
    </xf>
    <xf numFmtId="0" fontId="21" fillId="62" borderId="10" xfId="77">
      <protection locked="0"/>
    </xf>
    <xf numFmtId="0" fontId="27" fillId="46" borderId="10" xfId="57">
      <protection locked="0"/>
    </xf>
    <xf numFmtId="49" fontId="35" fillId="59" borderId="10" xfId="72"/>
    <xf numFmtId="0" fontId="35" fillId="58" borderId="10" xfId="71"/>
    <xf numFmtId="0" fontId="21" fillId="60" borderId="10" xfId="73"/>
    <xf numFmtId="0" fontId="36" fillId="0" borderId="18" xfId="98" applyFill="1" applyBorder="1" applyAlignment="1">
      <alignment horizontal="center"/>
    </xf>
    <xf numFmtId="0" fontId="36" fillId="61" borderId="10" xfId="74"/>
    <xf numFmtId="0" fontId="21" fillId="57" borderId="10" xfId="70"/>
    <xf numFmtId="0" fontId="24" fillId="43" borderId="10" xfId="54"/>
    <xf numFmtId="49" fontId="20" fillId="36" borderId="10" xfId="50"/>
    <xf numFmtId="49" fontId="20" fillId="71" borderId="10" xfId="90"/>
    <xf numFmtId="0" fontId="21" fillId="37" borderId="10" xfId="51"/>
    <xf numFmtId="164" fontId="36" fillId="70" borderId="10" xfId="89" applyAlignment="1"/>
    <xf numFmtId="0" fontId="36" fillId="70" borderId="10" xfId="91" applyNumberFormat="1" applyAlignment="1">
      <alignment horizontal="left"/>
    </xf>
    <xf numFmtId="0" fontId="36" fillId="70" borderId="10" xfId="91" applyAlignment="1"/>
    <xf numFmtId="0" fontId="21" fillId="69" borderId="10" xfId="88" applyNumberFormat="1"/>
    <xf numFmtId="0" fontId="21" fillId="69" borderId="10" xfId="88"/>
    <xf numFmtId="0" fontId="25" fillId="44" borderId="10" xfId="55">
      <protection locked="0"/>
    </xf>
    <xf numFmtId="49" fontId="41" fillId="74" borderId="10" xfId="94"/>
    <xf numFmtId="49" fontId="41" fillId="73" borderId="10" xfId="93"/>
    <xf numFmtId="0" fontId="21" fillId="75" borderId="10" xfId="95"/>
    <xf numFmtId="0" fontId="36" fillId="76" borderId="10" xfId="96"/>
    <xf numFmtId="0" fontId="21" fillId="72" borderId="10" xfId="92"/>
    <xf numFmtId="0" fontId="26" fillId="45" borderId="10" xfId="56"/>
    <xf numFmtId="49" fontId="40" fillId="38" borderId="10" xfId="85"/>
    <xf numFmtId="49" fontId="40" fillId="67" borderId="10" xfId="84"/>
    <xf numFmtId="0" fontId="21" fillId="39" borderId="10" xfId="86"/>
    <xf numFmtId="0" fontId="36" fillId="68" borderId="10" xfId="87"/>
    <xf numFmtId="0" fontId="21" fillId="40" borderId="10" xfId="83"/>
    <xf numFmtId="49" fontId="18" fillId="34" borderId="10" xfId="48"/>
    <xf numFmtId="0" fontId="0" fillId="0" borderId="35" xfId="0" applyBorder="1" applyAlignment="1">
      <alignment horizontal="center"/>
    </xf>
    <xf numFmtId="0" fontId="0" fillId="78" borderId="10" xfId="0" applyFill="1" applyBorder="1" applyAlignment="1">
      <alignment horizontal="center"/>
    </xf>
    <xf numFmtId="0" fontId="42" fillId="79" borderId="10" xfId="97" applyFill="1" applyBorder="1" applyAlignment="1">
      <alignment horizontal="center"/>
    </xf>
    <xf numFmtId="0" fontId="36" fillId="80" borderId="0" xfId="98" applyFill="1" applyBorder="1" applyAlignment="1">
      <alignment horizontal="center"/>
    </xf>
    <xf numFmtId="0" fontId="38" fillId="40" borderId="17" xfId="76" applyFill="1" applyBorder="1" applyAlignment="1">
      <alignment horizontal="center"/>
    </xf>
    <xf numFmtId="0" fontId="0" fillId="72" borderId="36" xfId="0" applyFill="1" applyBorder="1" applyAlignment="1">
      <alignment horizontal="center"/>
    </xf>
    <xf numFmtId="0" fontId="42" fillId="62" borderId="17" xfId="97" applyFill="1" applyBorder="1" applyAlignment="1">
      <alignment horizontal="center"/>
    </xf>
    <xf numFmtId="0" fontId="36" fillId="47" borderId="17" xfId="98" applyFill="1" applyBorder="1" applyAlignment="1">
      <alignment horizontal="center"/>
    </xf>
    <xf numFmtId="0" fontId="0" fillId="40" borderId="26" xfId="0" applyFill="1" applyBorder="1" applyAlignment="1">
      <alignment horizontal="center"/>
    </xf>
    <xf numFmtId="0" fontId="42" fillId="62" borderId="36" xfId="97" applyFill="1" applyBorder="1" applyAlignment="1">
      <alignment horizontal="center"/>
    </xf>
    <xf numFmtId="0" fontId="36" fillId="47" borderId="36" xfId="98" applyFill="1" applyBorder="1" applyAlignment="1">
      <alignment horizontal="center"/>
    </xf>
    <xf numFmtId="0" fontId="37" fillId="69" borderId="17" xfId="75" applyFill="1" applyBorder="1" applyAlignment="1">
      <alignment horizontal="center"/>
    </xf>
    <xf numFmtId="0" fontId="0" fillId="72" borderId="26" xfId="0" applyFill="1" applyBorder="1" applyAlignment="1">
      <alignment horizontal="center"/>
    </xf>
    <xf numFmtId="0" fontId="42" fillId="62" borderId="26" xfId="97" applyFill="1" applyBorder="1" applyAlignment="1">
      <alignment horizontal="center"/>
    </xf>
    <xf numFmtId="0" fontId="36" fillId="47" borderId="26" xfId="98" applyFill="1" applyBorder="1" applyAlignment="1">
      <alignment horizontal="center"/>
    </xf>
    <xf numFmtId="0" fontId="0" fillId="69" borderId="26" xfId="0" applyFill="1" applyBorder="1" applyAlignment="1">
      <alignment horizontal="center"/>
    </xf>
    <xf numFmtId="0" fontId="31" fillId="51" borderId="10" xfId="63" applyNumberFormat="1"/>
    <xf numFmtId="9" fontId="32" fillId="54" borderId="10" xfId="66" applyNumberFormat="1" applyAlignment="1">
      <alignment horizontal="center"/>
    </xf>
    <xf numFmtId="49" fontId="17" fillId="33" borderId="11" xfId="47" applyBorder="1">
      <alignment horizontal="center" vertical="center"/>
    </xf>
    <xf numFmtId="49" fontId="17" fillId="33" borderId="12" xfId="47" applyBorder="1">
      <alignment horizontal="center" vertical="center"/>
    </xf>
    <xf numFmtId="49" fontId="17" fillId="33" borderId="13" xfId="47" applyBorder="1">
      <alignment horizontal="center" vertical="center"/>
    </xf>
    <xf numFmtId="49" fontId="17" fillId="33" borderId="10" xfId="47">
      <alignment horizontal="center" vertical="center"/>
    </xf>
    <xf numFmtId="49" fontId="17" fillId="33" borderId="14" xfId="47" applyBorder="1">
      <alignment horizontal="center" vertical="center"/>
    </xf>
    <xf numFmtId="49" fontId="17" fillId="33" borderId="15" xfId="47" applyBorder="1">
      <alignment horizontal="center" vertical="center"/>
    </xf>
    <xf numFmtId="49" fontId="17" fillId="33" borderId="16" xfId="47" applyBorder="1">
      <alignment horizontal="center" vertical="center"/>
    </xf>
    <xf numFmtId="49" fontId="18" fillId="34" borderId="10" xfId="48" applyAlignment="1">
      <alignment horizontal="center"/>
    </xf>
    <xf numFmtId="49" fontId="19" fillId="35" borderId="14" xfId="49" applyBorder="1" applyAlignment="1">
      <alignment horizontal="center"/>
    </xf>
    <xf numFmtId="49" fontId="19" fillId="35" borderId="16" xfId="49" applyBorder="1" applyAlignment="1">
      <alignment horizontal="center"/>
    </xf>
    <xf numFmtId="49" fontId="19" fillId="35" borderId="14" xfId="49" applyBorder="1">
      <alignment horizontal="center" vertical="center"/>
    </xf>
    <xf numFmtId="49" fontId="19" fillId="35" borderId="16" xfId="49" applyBorder="1">
      <alignment horizontal="center" vertical="center"/>
    </xf>
  </cellXfs>
  <cellStyles count="99">
    <cellStyle name="20% - Accent1" xfId="24" builtinId="30" customBuiltin="1"/>
    <cellStyle name="20% - Accent2" xfId="28" builtinId="34" customBuiltin="1"/>
    <cellStyle name="20% - Accent3" xfId="32" builtinId="38" customBuiltin="1"/>
    <cellStyle name="20% - Accent4" xfId="36" builtinId="42" customBuiltin="1"/>
    <cellStyle name="20% - Accent5" xfId="40" builtinId="46" customBuiltin="1"/>
    <cellStyle name="20% - Accent6" xfId="44" builtinId="50" customBuiltin="1"/>
    <cellStyle name="40% - Accent1" xfId="25" builtinId="31" customBuiltin="1"/>
    <cellStyle name="40% - Accent2" xfId="29" builtinId="35" customBuiltin="1"/>
    <cellStyle name="40% - Accent3" xfId="33" builtinId="39" customBuiltin="1"/>
    <cellStyle name="40% - Accent4" xfId="37" builtinId="43" customBuiltin="1"/>
    <cellStyle name="40% - Accent5" xfId="41" builtinId="47" customBuiltin="1"/>
    <cellStyle name="40% - Accent6" xfId="45" builtinId="51" customBuiltin="1"/>
    <cellStyle name="60% - Accent1" xfId="26" builtinId="32" customBuiltin="1"/>
    <cellStyle name="60% - Accent2" xfId="30" builtinId="36" customBuiltin="1"/>
    <cellStyle name="60% - Accent3" xfId="34" builtinId="40" customBuiltin="1"/>
    <cellStyle name="60% - Accent4" xfId="38" builtinId="44" customBuiltin="1"/>
    <cellStyle name="60% - Accent5" xfId="42" builtinId="48" customBuiltin="1"/>
    <cellStyle name="60% - Accent6" xfId="46" builtinId="52" customBuiltin="1"/>
    <cellStyle name="Accent1" xfId="23" builtinId="29" customBuiltin="1"/>
    <cellStyle name="Accent2" xfId="27" builtinId="33" customBuiltin="1"/>
    <cellStyle name="Accent3" xfId="31" builtinId="37" customBuiltin="1"/>
    <cellStyle name="Accent4" xfId="35" builtinId="41" customBuiltin="1"/>
    <cellStyle name="Accent5" xfId="39" builtinId="45" customBuiltin="1"/>
    <cellStyle name="Accent6" xfId="43" builtinId="49" customBuiltin="1"/>
    <cellStyle name="ActBox" xfId="52" xr:uid="{03C6FF36-9EA7-4C1D-9B88-B1A46B95B260}"/>
    <cellStyle name="ActDeac" xfId="53" xr:uid="{14F8017C-545E-44F4-B272-C6C3B7EB99C9}"/>
    <cellStyle name="ActError" xfId="54" xr:uid="{98B369B1-A2B8-4375-814A-AFDCFE9C119A}"/>
    <cellStyle name="ActFind" xfId="55" xr:uid="{039B5973-0E70-4E4D-8C24-9917EC0FF786}"/>
    <cellStyle name="ActGood" xfId="56" xr:uid="{AAA11A8E-8026-4DC2-9FD7-B1A69E4C2BB3}"/>
    <cellStyle name="ActMiss" xfId="57" xr:uid="{0DF958F9-CDAF-4CF6-BDD2-C0390D602D2A}"/>
    <cellStyle name="ActNote" xfId="48" xr:uid="{C1DA1682-B3A4-467D-9D61-77526286FC7F}"/>
    <cellStyle name="Bad" xfId="12" builtinId="27" customBuiltin="1"/>
    <cellStyle name="BoxCell" xfId="58" xr:uid="{089E0B46-4D65-4428-9EEC-3847FEB95492}"/>
    <cellStyle name="BoxHdKey" xfId="59" xr:uid="{AAD0D979-AAC4-47C7-B757-8CD5E5FAE571}"/>
    <cellStyle name="BoxHead" xfId="49" xr:uid="{CEBBCF39-E2E1-4C18-85F6-44EBBA0FF54D}"/>
    <cellStyle name="BoxKey" xfId="60" xr:uid="{19DACC7A-0DD3-48CA-813B-EC164447E4A6}"/>
    <cellStyle name="BoxTitle" xfId="47" xr:uid="{74CD9648-DF36-4382-9E00-D68B2F7D3668}"/>
    <cellStyle name="BoxVal" xfId="61" xr:uid="{7EDF7AFB-D5E9-4D1B-9D56-6A9CD223D30A}"/>
    <cellStyle name="CalcCell" xfId="62" xr:uid="{A2E2F02E-E503-4434-83D7-C849FAF0E8A7}"/>
    <cellStyle name="CalcHd" xfId="63" xr:uid="{F4D48238-61BD-4A64-9540-BE9AEA7D3A8D}"/>
    <cellStyle name="CalcHdKey" xfId="64" xr:uid="{F07EB74D-19D1-4D31-93E8-4EF644360BBF}"/>
    <cellStyle name="CalcKey" xfId="65" xr:uid="{76296142-EF34-4B5F-ABC5-63416D93D513}"/>
    <cellStyle name="Calculation" xfId="16" builtinId="22" customBuiltin="1"/>
    <cellStyle name="CalcVal" xfId="66" xr:uid="{85019704-284F-44DD-B33D-936FBF820B0B}"/>
    <cellStyle name="Check Cell" xfId="18" builtinId="23" customBuiltin="1"/>
    <cellStyle name="Comma" xfId="1" builtinId="3" customBuiltin="1"/>
    <cellStyle name="Comma [0]" xfId="2" builtinId="6" customBuiltin="1"/>
    <cellStyle name="Currency" xfId="3" builtinId="4" customBuiltin="1"/>
    <cellStyle name="Currency [0]" xfId="4" builtinId="7" customBuiltin="1"/>
    <cellStyle name="DeacCell" xfId="67" xr:uid="{654F00CC-38A3-449F-9AAB-894FE52B245C}"/>
    <cellStyle name="DeacHd" xfId="68" xr:uid="{688EFD7B-B9FF-4372-A90B-69B16BB4F401}"/>
    <cellStyle name="DeacHdKey" xfId="69" xr:uid="{5D76839E-13EB-4CF0-8E21-5C194CDB5B9F}"/>
    <cellStyle name="ErrCell" xfId="70" xr:uid="{A0E2D4DA-A367-4329-9DD4-6B281083BFE8}"/>
    <cellStyle name="ErrHd" xfId="71" xr:uid="{69C139CE-EB0C-4DA5-8F0D-3691B052D504}"/>
    <cellStyle name="ErrHdKey" xfId="72" xr:uid="{D3008B87-B262-4E24-A1A7-A41D010F9CAF}"/>
    <cellStyle name="ErrKey" xfId="73" xr:uid="{EDE6B00B-41D5-47A9-A057-DBA894862E91}"/>
    <cellStyle name="ErrVal" xfId="74" xr:uid="{BCC9C959-6489-4C1C-8CCD-6F9EDB2AD406}"/>
    <cellStyle name="Explanatory Text" xfId="21" builtinId="53" customBuiltin="1"/>
    <cellStyle name="Followed Hyperlink" xfId="75" builtinId="9" customBuiltin="1"/>
    <cellStyle name="Good" xfId="11" builtinId="26" customBuiltin="1"/>
    <cellStyle name="Heading 1" xfId="7" builtinId="16" customBuiltin="1"/>
    <cellStyle name="Heading 2" xfId="8" builtinId="17" customBuiltin="1"/>
    <cellStyle name="Heading 3" xfId="9" builtinId="18" customBuiltin="1"/>
    <cellStyle name="Heading 4" xfId="10" builtinId="19" customBuiltin="1"/>
    <cellStyle name="Hyperlink" xfId="76" builtinId="8" customBuiltin="1"/>
    <cellStyle name="InpCell" xfId="77" xr:uid="{5D7A264E-F1D2-4583-8813-E198F2EAF098}"/>
    <cellStyle name="InpDate" xfId="78" xr:uid="{6AA9596E-65D8-47D1-A8D5-502CB7FE6B5F}"/>
    <cellStyle name="InpHd" xfId="79" xr:uid="{775517A3-6298-4F41-B1E1-8EEA84F975EF}"/>
    <cellStyle name="InpHdKey" xfId="80" xr:uid="{B106E17C-FFA3-4299-8264-EE35DD1F9B21}"/>
    <cellStyle name="InpKey" xfId="81" xr:uid="{8415644A-CE16-47D9-9395-F3EFC231DEDC}"/>
    <cellStyle name="Input" xfId="14" builtinId="20" customBuiltin="1"/>
    <cellStyle name="InpVal" xfId="82" xr:uid="{8A19B73D-C920-411F-8F68-D0A949E32ADC}"/>
    <cellStyle name="IntCell" xfId="83" xr:uid="{DD0C64CA-A796-473A-AF3C-57F749B30C6F}"/>
    <cellStyle name="IntHd" xfId="84" xr:uid="{F6770854-73BD-4578-9A8D-8FE223DF5106}"/>
    <cellStyle name="IntHdKey" xfId="85" xr:uid="{61584E12-5846-4DFD-9EA4-A718027A02D8}"/>
    <cellStyle name="IntKey" xfId="86" xr:uid="{38D6B8BF-88BB-43BF-BB07-04822DFAD2F6}"/>
    <cellStyle name="IntVal" xfId="87" xr:uid="{4CE34826-36CC-499E-BD3F-415ABDE47BF8}"/>
    <cellStyle name="Linked Cell" xfId="17" builtinId="24" customBuiltin="1"/>
    <cellStyle name="LkpCell" xfId="88" xr:uid="{8F7EBA74-ECC5-4F16-B2C7-0B95CB354CDB}"/>
    <cellStyle name="LkpDate" xfId="89" xr:uid="{C4E5605D-1C03-477D-9FAA-1DE1A83D17B5}"/>
    <cellStyle name="LkpHd" xfId="90" xr:uid="{5345ED21-4436-4AE3-AA7C-70352D208889}"/>
    <cellStyle name="LkpHdKey" xfId="50" xr:uid="{5998D6FF-88CD-4B95-BE89-CCF84D7A9D7E}"/>
    <cellStyle name="LkpKey" xfId="51" xr:uid="{A38EB27D-ACFA-4344-B3A3-BCF077C78080}"/>
    <cellStyle name="LkpVal" xfId="91" xr:uid="{528E5382-B341-4633-9C05-E0BF41306357}"/>
    <cellStyle name="Neutral" xfId="13" builtinId="28" customBuiltin="1"/>
    <cellStyle name="Normal" xfId="0" builtinId="0" customBuiltin="1"/>
    <cellStyle name="Note" xfId="20" builtinId="10" customBuiltin="1"/>
    <cellStyle name="Output" xfId="15" builtinId="21" customBuiltin="1"/>
    <cellStyle name="Percent" xfId="5" builtinId="5" customBuiltin="1"/>
    <cellStyle name="QueCell" xfId="92" xr:uid="{1B63AD15-5ECF-4A70-BA9C-AFF6349BB40D}"/>
    <cellStyle name="QueHd" xfId="93" xr:uid="{601A0A26-2E0D-4F27-8A8B-5E7E721BB5AE}"/>
    <cellStyle name="QueHdKey" xfId="94" xr:uid="{275D9CBD-4006-403F-A49C-A4077557518B}"/>
    <cellStyle name="QueKey" xfId="95" xr:uid="{7DBBC029-A986-48ED-B0DA-5A656DA03854}"/>
    <cellStyle name="QueVal" xfId="96" xr:uid="{BD354493-DC72-407D-8E0A-6CDFE31E42B6}"/>
    <cellStyle name="Title" xfId="6" builtinId="15" customBuiltin="1"/>
    <cellStyle name="Total" xfId="22" builtinId="25" customBuiltin="1"/>
    <cellStyle name="Warning Text" xfId="19" builtinId="11" customBuiltin="1"/>
    <cellStyle name="xCond" xfId="97" xr:uid="{945CC640-228C-4E21-9CCE-191C0F0431F3}"/>
    <cellStyle name="xMono" xfId="98" xr:uid="{8625505F-E274-4855-90A5-FFF71C0EFD01}"/>
  </cellStyles>
  <dxfs count="120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border outline="0">
        <right style="thin">
          <color auto="1"/>
        </right>
      </border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0.79998168889431442"/>
        <name val="Bahnschrift"/>
        <family val="2"/>
        <scheme val="major"/>
      </font>
      <numFmt numFmtId="0" formatCode="General"/>
      <fill>
        <patternFill patternType="solid">
          <fgColor indexed="64"/>
          <bgColor theme="1" tint="0.34998626667073579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font>
        <b val="0"/>
        <i/>
      </font>
      <fill>
        <patternFill patternType="darkDown">
          <fgColor rgb="FFFF7C80"/>
          <bgColor rgb="FFFF0000"/>
        </patternFill>
      </fill>
    </dxf>
    <dxf>
      <font>
        <color theme="0" tint="-0.24994659260841701"/>
      </font>
      <fill>
        <patternFill patternType="darkDown">
          <fgColor theme="3"/>
          <bgColor theme="3" tint="-0.499984740745262"/>
        </patternFill>
      </fill>
    </dxf>
    <dxf>
      <font>
        <color rgb="FFA6A6A6"/>
      </font>
      <fill>
        <patternFill>
          <bgColor rgb="FF808080"/>
        </patternFill>
      </fill>
    </dxf>
    <dxf>
      <fill>
        <patternFill patternType="darkDown">
          <fgColor theme="7" tint="-0.24994659260841701"/>
          <bgColor theme="7"/>
        </patternFill>
      </fill>
    </dxf>
    <dxf>
      <fill>
        <patternFill>
          <bgColor rgb="FFFF7C80"/>
        </patternFill>
      </fill>
    </dxf>
    <dxf>
      <font>
        <b val="0"/>
        <i/>
      </font>
      <fill>
        <patternFill patternType="darkDown">
          <fgColor rgb="FFFF7C80"/>
          <bgColor rgb="FFFF0000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499984740745262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49998474074526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3"/>
      </font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7" tint="0.79998168889431442"/>
      </font>
      <fill>
        <patternFill>
          <bgColor theme="7" tint="-0.499984740745262"/>
        </patternFill>
      </fill>
    </dxf>
    <dxf>
      <font>
        <color theme="7" tint="0.79998168889431442"/>
      </font>
      <fill>
        <patternFill>
          <bgColor theme="7" tint="-0.49998474074526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0.79998168889431442"/>
        </patternFill>
      </fill>
      <border diagonalUp="1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 style="thin">
          <color auto="1"/>
        </diagonal>
        <vertical style="thin">
          <color auto="1"/>
        </vertical>
        <horizontal style="thin">
          <color auto="1"/>
        </horizontal>
      </border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9" tint="0.79998168889431442"/>
      </font>
      <fill>
        <patternFill>
          <bgColor theme="9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5" tint="0.79998168889431442"/>
      </font>
      <fill>
        <patternFill>
          <bgColor theme="5" tint="-0.499984740745262"/>
        </patternFill>
      </fill>
    </dxf>
    <dxf>
      <font>
        <color theme="5" tint="0.79998168889431442"/>
      </font>
      <fill>
        <patternFill>
          <bgColor theme="5" tint="-0.49998474074526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color theme="5" tint="0.79998168889431442"/>
      </font>
      <fill>
        <patternFill>
          <bgColor theme="5" tint="-0.24994659260841701"/>
        </patternFill>
      </fill>
    </dxf>
    <dxf>
      <font>
        <color theme="5" tint="0.79998168889431442"/>
      </font>
      <fill>
        <patternFill>
          <bgColor theme="5" tint="-0.24994659260841701"/>
        </patternFill>
      </fill>
    </dxf>
    <dxf>
      <font>
        <strike val="0"/>
        <color theme="1"/>
      </font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6" tint="0.79998168889431442"/>
      </font>
      <fill>
        <patternFill>
          <bgColor theme="6" tint="-0.499984740745262"/>
        </patternFill>
      </fill>
    </dxf>
    <dxf>
      <font>
        <color theme="6" tint="0.79998168889431442"/>
      </font>
      <fill>
        <patternFill>
          <bgColor theme="6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ont>
        <color theme="6" tint="0.79998168889431442"/>
      </font>
      <fill>
        <patternFill>
          <bgColor theme="6" tint="-0.24994659260841701"/>
        </patternFill>
      </fill>
    </dxf>
    <dxf>
      <font>
        <color theme="6" tint="0.79998168889431442"/>
      </font>
      <fill>
        <patternFill>
          <bgColor theme="6" tint="-0.24994659260841701"/>
        </patternFill>
      </fill>
    </dxf>
    <dxf>
      <font>
        <color theme="1"/>
      </font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0" tint="0.79998168889431442"/>
      </font>
      <fill>
        <patternFill>
          <bgColor theme="1" tint="0.34998626667073579"/>
        </patternFill>
      </fill>
    </dxf>
    <dxf>
      <fill>
        <patternFill>
          <bgColor theme="2" tint="-0.14996795556505021"/>
        </patternFill>
      </fill>
    </dxf>
    <dxf>
      <fill>
        <patternFill>
          <bgColor theme="2" tint="-0.24994659260841701"/>
        </patternFill>
      </fill>
    </dxf>
    <dxf>
      <font>
        <color theme="0" tint="0.79998168889431442"/>
      </font>
      <fill>
        <patternFill>
          <bgColor theme="1" tint="0.499984740745262"/>
        </patternFill>
      </fill>
    </dxf>
    <dxf>
      <font>
        <color theme="0" tint="0.79998168889431442"/>
      </font>
      <fill>
        <patternFill>
          <bgColor theme="1" tint="0.499984740745262"/>
        </patternFill>
      </fill>
    </dxf>
    <dxf>
      <font>
        <strike val="0"/>
        <color theme="3"/>
      </font>
      <fill>
        <patternFill>
          <bgColor theme="2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4" tint="0.79998168889431442"/>
      </font>
      <fill>
        <patternFill>
          <bgColor theme="4" tint="-0.499984740745262"/>
        </patternFill>
      </fill>
    </dxf>
    <dxf>
      <font>
        <color theme="4" tint="0.79998168889431442"/>
      </font>
      <fill>
        <patternFill>
          <bgColor theme="4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ont>
        <color theme="4" tint="0.79998168889431442"/>
      </font>
      <fill>
        <patternFill>
          <bgColor theme="4" tint="-0.24994659260841701"/>
        </patternFill>
      </fill>
    </dxf>
    <dxf>
      <font>
        <color theme="4" tint="0.79998168889431442"/>
      </font>
      <fill>
        <patternFill>
          <bgColor theme="4" tint="-0.24994659260841701"/>
        </patternFill>
      </fill>
    </dxf>
    <dxf>
      <font>
        <color theme="4" tint="-0.499984740745262"/>
      </font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7" defaultTableStyle="TableStyleMedium2" defaultPivotStyle="PivotStyleLight16">
    <tableStyle name="BoxTable" pivot="0" count="7" xr9:uid="{A825FDD6-0344-402A-BB72-733CECCCCC45}">
      <tableStyleElement type="wholeTable" dxfId="119"/>
      <tableStyleElement type="headerRow" dxfId="118"/>
      <tableStyleElement type="totalRow" dxfId="117"/>
      <tableStyleElement type="firstColumn" dxfId="116"/>
      <tableStyleElement type="lastColumn" dxfId="115"/>
      <tableStyleElement type="firstHeaderCell" dxfId="114"/>
      <tableStyleElement type="firstTotalCell" dxfId="113"/>
    </tableStyle>
    <tableStyle name="CalculatedTable" pivot="0" count="7" xr9:uid="{2B9716CA-B174-45F3-AE10-F3E50D0CDD94}">
      <tableStyleElement type="wholeTable" dxfId="112"/>
      <tableStyleElement type="headerRow" dxfId="111"/>
      <tableStyleElement type="totalRow" dxfId="110"/>
      <tableStyleElement type="firstColumn" dxfId="109"/>
      <tableStyleElement type="lastColumn" dxfId="108"/>
      <tableStyleElement type="firstHeaderCell" dxfId="107"/>
      <tableStyleElement type="firstTotalCell" dxfId="106"/>
    </tableStyle>
    <tableStyle name="ErrorTable" pivot="0" count="7" xr9:uid="{50241DDC-9BFD-4907-A3C5-ABBF88ABD84E}">
      <tableStyleElement type="wholeTable" dxfId="105"/>
      <tableStyleElement type="headerRow" dxfId="104"/>
      <tableStyleElement type="totalRow" dxfId="103"/>
      <tableStyleElement type="firstColumn" dxfId="102"/>
      <tableStyleElement type="lastColumn" dxfId="101"/>
      <tableStyleElement type="firstHeaderCell" dxfId="100"/>
      <tableStyleElement type="firstTotalCell" dxfId="99"/>
    </tableStyle>
    <tableStyle name="InputTable" pivot="0" count="7" xr9:uid="{9617E59F-5DF0-47AF-83C4-A84A98084870}">
      <tableStyleElement type="wholeTable" dxfId="98"/>
      <tableStyleElement type="headerRow" dxfId="97"/>
      <tableStyleElement type="totalRow" dxfId="96"/>
      <tableStyleElement type="firstColumn" dxfId="95"/>
      <tableStyleElement type="lastColumn" dxfId="94"/>
      <tableStyleElement type="firstHeaderCell" dxfId="93"/>
      <tableStyleElement type="firstTotalCell" dxfId="92"/>
    </tableStyle>
    <tableStyle name="InternalTable" pivot="0" count="7" xr9:uid="{9A63A350-72BA-49B9-801B-3C3B44C3E076}">
      <tableStyleElement type="wholeTable" dxfId="91"/>
      <tableStyleElement type="headerRow" dxfId="90"/>
      <tableStyleElement type="totalRow" dxfId="89"/>
      <tableStyleElement type="firstColumn" dxfId="88"/>
      <tableStyleElement type="lastColumn" dxfId="87"/>
      <tableStyleElement type="firstHeaderCell" dxfId="86"/>
      <tableStyleElement type="firstTotalCell" dxfId="85"/>
    </tableStyle>
    <tableStyle name="LookupTable" pivot="0" count="7" xr9:uid="{D3586F5E-ABCB-4F16-BB44-E3580B59E066}">
      <tableStyleElement type="wholeTable" dxfId="84"/>
      <tableStyleElement type="headerRow" dxfId="83"/>
      <tableStyleElement type="totalRow" dxfId="82"/>
      <tableStyleElement type="firstColumn" dxfId="81"/>
      <tableStyleElement type="lastColumn" dxfId="80"/>
      <tableStyleElement type="firstHeaderCell" dxfId="79"/>
      <tableStyleElement type="firstTotalCell" dxfId="78"/>
    </tableStyle>
    <tableStyle name="QueryTable" pivot="0" count="9" xr9:uid="{7DC53262-A055-4B56-B573-515E8A82B02E}">
      <tableStyleElement type="wholeTable" dxfId="77"/>
      <tableStyleElement type="headerRow" dxfId="76"/>
      <tableStyleElement type="totalRow" dxfId="75"/>
      <tableStyleElement type="firstColumn" dxfId="74"/>
      <tableStyleElement type="lastColumn" dxfId="73"/>
      <tableStyleElement type="firstHeaderCell" dxfId="72"/>
      <tableStyleElement type="lastHeaderCell" dxfId="71"/>
      <tableStyleElement type="firstTotalCell" dxfId="70"/>
      <tableStyleElement type="lastTotalCell" dxfId="6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228600</xdr:colOff>
          <xdr:row>0</xdr:row>
          <xdr:rowOff>104775</xdr:rowOff>
        </xdr:from>
        <xdr:to>
          <xdr:col>15</xdr:col>
          <xdr:colOff>571500</xdr:colOff>
          <xdr:row>2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Bahnschrift"/>
                </a:rPr>
                <a:t>Update Styles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1424411-8D69-451C-A131-7FF5AA7D2372}" name="KeyTable" displayName="KeyTable" ref="A2:P50" tableBorderDxfId="62">
  <tableColumns count="16">
    <tableColumn id="1" xr3:uid="{76068DAB-DC13-445B-857C-6BDE6792A5EF}" name="Cell Name" totalsRowLabel="Total" dataDxfId="61"/>
    <tableColumn id="10" xr3:uid="{7F57117A-3BC3-4A81-9ED4-DF1879D74C06}" name="StyleName" dataDxfId="60"/>
    <tableColumn id="2" xr3:uid="{6D1D03BF-9E42-48E5-9D14-FCB08690EA7A}" name="Where Used" totalsRowDxfId="59"/>
    <tableColumn id="3" xr3:uid="{104032BF-985A-457B-B832-4433AB3EDBFC}" name="Typing Notes" totalsRowDxfId="58"/>
    <tableColumn id="4" xr3:uid="{DB8BFC11-B0D1-4846-A39C-C054A1119787}" name="Warnings" totalsRowDxfId="57"/>
    <tableColumn id="8" xr3:uid="{57BF9228-3F09-4079-ACFD-F5692E34A4C3}" name="Fmt Notes" totalsRowFunction="count" totalsRowDxfId="56"/>
    <tableColumn id="9" xr3:uid="{52CAA38C-101F-4454-9B7A-AEE3ED3DF879}" name="Font" dataDxfId="55" totalsRowDxfId="54" dataCellStyle="CalcCell">
      <calculatedColumnFormula xml:space="preserve"> IF( OR(RIGHT(KeyTable[[#This Row],[StyleName]], 4) = "Date", RIGHT(KeyTable[[#This Row],[StyleName]], 3) = "Val"), "OCRB", "Bahnschrift")</calculatedColumnFormula>
    </tableColumn>
    <tableColumn id="12" xr3:uid="{8CE7029C-941E-490F-8AF7-A660807E5881}" name="Fnt" dataDxfId="53" totalsRowDxfId="52"/>
    <tableColumn id="11" xr3:uid="{97705706-DD43-48D7-A714-6942BBA1BD45}" name="Base" dataDxfId="51" totalsRowDxfId="50"/>
    <tableColumn id="16" xr3:uid="{91C91811-BF5C-47BF-9544-301F1AD32EC9}" name="Pat" dataDxfId="49" totalsRowDxfId="48"/>
    <tableColumn id="13" xr3:uid="{9026655B-F047-4B16-9D83-46C4D12683B8}" name="BOv" dataDxfId="47" totalsRowDxfId="46"/>
    <tableColumn id="14" xr3:uid="{97D396DA-77C8-4EF1-ABB7-86BAAB20B0F4}" name="FOv" dataDxfId="45" totalsRowDxfId="44"/>
    <tableColumn id="15" xr3:uid="{D93B4D51-6EE6-4973-81E1-FBBFBCC42DFF}" name="POv" dataDxfId="43" totalsRowDxfId="42"/>
    <tableColumn id="5" xr3:uid="{3B9668E6-624A-46E5-B3D2-FFFE00082FEB}" name="BgClr" dataDxfId="41" totalsRowDxfId="40" dataCellStyle="CalcVal">
      <calculatedColumnFormula array="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calculatedColumnFormula>
    </tableColumn>
    <tableColumn id="6" xr3:uid="{479C343B-CBF8-4141-96F0-6C8702FBF17D}" name="TxClr" dataDxfId="39" totalsRowDxfId="38" dataCellStyle="CalcVal">
      <calculatedColumnFormula array="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calculatedColumnFormula>
    </tableColumn>
    <tableColumn id="7" xr3:uid="{4B487879-F9F5-4BFD-8760-E41888F50C6B}" name="PtClr" dataDxfId="37" totalsRowDxfId="36" dataCellStyle="CalcVal">
      <calculatedColumnFormula array="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calculatedColumnFormula>
    </tableColumn>
  </tableColumns>
  <tableStyleInfo name="InternalTable" showFirstColumn="1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8B97F38-78AB-45EA-BFEA-0F54EA7A87AB}" name="LookupSampleTable" displayName="LookupSampleTable" ref="B59:D62" totalsRowCount="1">
  <tableColumns count="3">
    <tableColumn id="1" xr3:uid="{39355D74-341C-4CEE-9B1A-BB18F0C7A627}" name="LookupKey1" totalsRowLabel="Total:"/>
    <tableColumn id="2" xr3:uid="{D34B602B-F107-4881-B52E-6D0C3A556765}" name="LookupColumn2"/>
    <tableColumn id="3" xr3:uid="{D6F07BD5-B4E5-4FB1-9A46-95D1D5588CE9}" name="CalcColumn" totalsRowFunction="custom" totalsRowDxfId="35" dataCellStyle="CalcCell" totalsRowCellStyle="CalcHd">
      <calculatedColumnFormula>RIGHT(LookupSampleTable[[#This Row],[LookupColumn2]],5)</calculatedColumnFormula>
      <totalsRowFormula>COUNTIF(LookupSampleTable[CalcColumn],"Value") &amp; " Value"</totalsRowFormula>
    </tableColumn>
  </tableColumns>
  <tableStyleInfo name="LookupTable" showFirstColumn="1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4862436-018E-40CC-B59B-9C83F5A69B9A}" name="ConitionalTable" displayName="ConitionalTable" ref="R2:U21">
  <tableColumns count="4">
    <tableColumn id="1" xr3:uid="{EC69CF64-4074-476A-B04E-5BE0C0379D56}" name="Column1" totalsRowLabel="Total"/>
    <tableColumn id="2" xr3:uid="{8AC56160-6459-4A0A-9342-990C97E0F2A3}" name="Column2"/>
    <tableColumn id="3" xr3:uid="{023FCC1E-0A81-41BB-B157-8DB56B8241E4}" name="Column3"/>
    <tableColumn id="4" xr3:uid="{8EACCDFE-5783-49AE-86F7-52700900A8F7}" name="Result" totalsRowFunction="count" dataDxfId="34">
      <calculatedColumnFormula array="1">AND(ConitionalTable[[#This Row],[Column1]]=BoolYes,ConitionalTable[[#This Row],[Column2]]&lt;&gt;"BadValue",OR(ConitionalTable[[#This Row],[Column3]]&gt;0, NOT(SampleOptionTable[UseCol3])))</calculatedColumnFormula>
    </tableColumn>
  </tableColumns>
  <tableStyleInfo name="LookupTable" showFirstColumn="0" showLastColumn="1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1CDB7F9-3BE6-4567-AD15-1C963EFCE7E9}" name="SampleOptionTable" displayName="SampleOptionTable" ref="W2:W3" totalsRowShown="0" headerRowDxfId="33" dataDxfId="32" tableBorderDxfId="31">
  <tableColumns count="1">
    <tableColumn id="1" xr3:uid="{EBEEB104-485E-4066-A89C-BF60264C502F}" name="UseCol3" dataDxfId="30"/>
  </tableColumns>
  <tableStyleInfo name="InputTable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CBD23DC-919A-4231-A108-94BB9F55D562}" name="IntSampleTable" displayName="IntSampleTable" ref="B65:D68" totalsRowCount="1">
  <tableColumns count="3">
    <tableColumn id="1" xr3:uid="{14D9F850-6742-4110-97CD-68E090508DFF}" name="Key1" totalsRowLabel="Total:"/>
    <tableColumn id="2" xr3:uid="{9DBCDB4A-AC76-4922-865B-C49ACB9F8168}" name="Internal2" totalsRowFunction="custom" dataDxfId="29">
      <totalsRowFormula>COUNTIF(IntSampleTable[Internal2],"")    &amp;     " Blank Cells"</totalsRowFormula>
    </tableColumn>
    <tableColumn id="3" xr3:uid="{F2CB2A44-808C-49EA-9140-07BAA4A60FA4}" name="CalcColumn3" totalsRowFunction="custom" dataDxfId="28" dataCellStyle="CalcVal" totalsRowCellStyle="CalcHd">
      <calculatedColumnFormula>1 /  VALUE(LEFT($C$68,1))</calculatedColumnFormula>
      <totalsRowFormula>"Total: "&amp; SUBTOTAL(109,IntSampleTable[CalcColumn3])*100 &amp;"%"</totalsRowFormula>
    </tableColumn>
  </tableColumns>
  <tableStyleInfo name="InternalTable" showFirstColumn="1" showLastColumn="1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33934CE-686F-4988-BC24-951C1ECDE351}" name="QuerySampleTable" displayName="QuerySampleTable" ref="B71:D74" totalsRowCount="1">
  <tableColumns count="3">
    <tableColumn id="1" xr3:uid="{7A313683-44AB-47A6-8ABC-1C83577B1A6B}" name="QueryKey1" totalsRowLabel="Total:"/>
    <tableColumn id="2" xr3:uid="{9EF07AED-856A-4F07-A75D-D396829D1E92}" name="QueryColumn2" totalsRowFunction="custom">
      <totalsRowFormula>COUNTIF(QuerySampleTable[QueryColumn2],"* Error")&amp;" Error in Col"</totalsRowFormula>
    </tableColumn>
    <tableColumn id="3" xr3:uid="{9B6D6A2F-3BCF-4757-AE12-FE41C67BD4C5}" name="CalcColumn3" totalsRowFunction="custom" dataCellStyle="CalcCell" totalsRowCellStyle="CalcHd">
      <calculatedColumnFormula>QuerySampleTable[[#This Row],[QueryColumn2]]  = "Query Value"</calculatedColumnFormula>
      <totalsRowFormula>IF(_xlfn.XMATCH(FALSE, QuerySampleTable[CalcColumn3],0,1) &gt; 0,  "&gt;0  Falses in Column", "Column Good")</totalsRowFormula>
    </tableColumn>
  </tableColumns>
  <tableStyleInfo name="QueryTable" showFirstColumn="1" showLastColumn="1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8A54CDB-0125-4038-911A-432100813CF3}" name="NewTable" displayName="NewTable" ref="B77:D80">
  <tableColumns count="3">
    <tableColumn id="1" xr3:uid="{B5DEA632-2684-44B4-8E1E-3DCB0DA0518A}" name="Column1" totalsRowLabel="Total"/>
    <tableColumn id="2" xr3:uid="{134485BA-02AB-4EAC-957B-AC34B5356A49}" name="Column2"/>
    <tableColumn id="3" xr3:uid="{C5C5FD05-190E-431D-ACF7-37F865730893}" name="Column3" totalsRowFunction="count"/>
  </tableColumns>
  <tableStyleInfo name="QueryTable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0CFEB45-3C0E-4BAD-B635-D4838357988F}" name="BoolTable" displayName="BoolTable" ref="A2:A4" totalsRowShown="0" headerRowDxfId="27" dataDxfId="26" tableBorderDxfId="25">
  <tableColumns count="1">
    <tableColumn id="1" xr3:uid="{05176BC8-1854-4480-8FA0-241B7288A519}" name="Bool" dataDxfId="24"/>
  </tableColumns>
  <tableStyleInfo name="InternalTable" showFirstColumn="1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A0CDA-7146-43CB-ABC8-75E582EC1F77}" name="BoolValueTable" displayName="BoolValueTable" ref="D3:E4" totalsRowShown="0" headerRowDxfId="23" dataDxfId="22" tableBorderDxfId="21" headerRowCellStyle="LkpHdKey" dataCellStyle="LkpKey">
  <tableColumns count="2">
    <tableColumn id="1" xr3:uid="{21F6AF6E-BC39-4E4D-96F8-2A8030E0361E}" name="Y" dataDxfId="20" dataCellStyle="LkpKey">
      <calculatedColumnFormula array="1">OFFSET( BoolName, 0, 0, 1, 1)</calculatedColumnFormula>
    </tableColumn>
    <tableColumn id="3" xr3:uid="{83460445-1457-46BA-8264-4B62AABBEE2F}" name="N" dataDxfId="19" dataCellStyle="LkpKey">
      <calculatedColumnFormula array="1">OFFSET( BoolName, 1, 0, 1, 1)</calculatedColumnFormula>
    </tableColumn>
  </tableColumns>
  <tableStyleInfo name="LookupTable" showFirstColumn="1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340FF2-89DC-4C98-BAAA-BAB5D5CD5393}" name="LNFTable" displayName="LNFTable" ref="A6:A7" totalsRowShown="0" headerRowDxfId="18" dataDxfId="17">
  <tableColumns count="1">
    <tableColumn id="1" xr3:uid="{056DB949-FD13-418A-817A-1D37D854EEA2}" name="LNF" dataDxfId="16"/>
  </tableColumns>
  <tableStyleInfo name="InternalTable" showFirstColumn="1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ED86EB8-EDFC-40D7-91F1-801CCCF18F56}" name="YNTable" displayName="YNTable" ref="B2:B4" totalsRowShown="0" headerRowDxfId="15" dataDxfId="14">
  <tableColumns count="1">
    <tableColumn id="1" xr3:uid="{81DCCB68-E122-4508-B003-CA2A07871428}" name="YN" dataDxfId="13"/>
  </tableColumns>
  <tableStyleInfo name="InternalTable" showFirstColumn="1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73A1C03-8985-4824-A1DD-3CE962890F2B}" name="YNValueTable" displayName="YNValueTable" ref="F3:G4" totalsRowShown="0" headerRowDxfId="12" dataDxfId="11" tableBorderDxfId="10" headerRowCellStyle="LkpHdKey" dataCellStyle="LkpKey">
  <tableColumns count="2">
    <tableColumn id="1" xr3:uid="{EA30E58B-0A29-4559-8833-A0D5373F57BC}" name="Y" dataDxfId="9" dataCellStyle="LkpKey">
      <calculatedColumnFormula>OFFSET( YNTable[], 0, 0, 1, 1)</calculatedColumnFormula>
    </tableColumn>
    <tableColumn id="2" xr3:uid="{1694A841-EFD0-42A1-8F8C-C4FF2FAB0707}" name="N" dataDxfId="8" dataCellStyle="LkpKey">
      <calculatedColumnFormula>OFFSET( YNTable[], 1, 0, 1, 1)</calculatedColumnFormula>
    </tableColumn>
  </tableColumns>
  <tableStyleInfo name="LookupTable" showFirstColumn="1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2DA6A13-FA36-40A9-9798-22BB5C49BE71}" name="SizeOverrideTable" displayName="SizeOverrideTable" ref="I2:N3" totalsRowShown="0" dataDxfId="7" tableBorderDxfId="6">
  <tableColumns count="6">
    <tableColumn id="1" xr3:uid="{CE43395E-509B-4D9B-AEE6-3E667D174062}" name="Cell Title" dataDxfId="5"/>
    <tableColumn id="2" xr3:uid="{9B26D6EC-FDDF-4E71-A9C2-E86D018A2279}" name="Headers" dataDxfId="4"/>
    <tableColumn id="3" xr3:uid="{41F1A380-C2EE-499E-A8EB-894C73458495}" name="Cells" dataDxfId="3"/>
    <tableColumn id="4" xr3:uid="{03A9D671-23FC-45D7-AC5C-C176DD7C948D}" name="Sets Font" dataDxfId="2"/>
    <tableColumn id="5" xr3:uid="{9EA5D9D6-4C7D-4C49-9EC4-7320D66375FD}" name="Sets Fmt" dataDxfId="1"/>
    <tableColumn id="6" xr3:uid="{9BD9619D-860D-40AA-91FB-3F17BD285B88}" name="ChgNorm" dataDxfId="0"/>
  </tableColumns>
  <tableStyleInfo name="InternalTable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CI Current">
      <a:dk1>
        <a:srgbClr val="000000"/>
      </a:dk1>
      <a:lt1>
        <a:srgbClr val="7F7F7F"/>
      </a:lt1>
      <a:dk2>
        <a:srgbClr val="3F3F3F"/>
      </a:dk2>
      <a:lt2>
        <a:srgbClr val="FFFFFF"/>
      </a:lt2>
      <a:accent1>
        <a:srgbClr val="4164F9"/>
      </a:accent1>
      <a:accent2>
        <a:srgbClr val="FFFF00"/>
      </a:accent2>
      <a:accent3>
        <a:srgbClr val="FB0000"/>
      </a:accent3>
      <a:accent4>
        <a:srgbClr val="14F0EB"/>
      </a:accent4>
      <a:accent5>
        <a:srgbClr val="03D70D"/>
      </a:accent5>
      <a:accent6>
        <a:srgbClr val="AB73D5"/>
      </a:accent6>
      <a:hlink>
        <a:srgbClr val="E3D0F1"/>
      </a:hlink>
      <a:folHlink>
        <a:srgbClr val="AB73D5"/>
      </a:folHlink>
    </a:clrScheme>
    <a:fontScheme name="Bahn">
      <a:majorFont>
        <a:latin typeface="Bahnschrift"/>
        <a:ea typeface=""/>
        <a:cs typeface=""/>
      </a:majorFont>
      <a:minorFont>
        <a:latin typeface="Bahnschrif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0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9C173-B134-4B51-91C5-7F975ED3B70E}">
  <sheetPr codeName="KeySheet">
    <tabColor theme="8" tint="-0.249977111117893"/>
  </sheetPr>
  <dimension ref="A1:W77"/>
  <sheetViews>
    <sheetView tabSelected="1" topLeftCell="A49" zoomScaleNormal="100" workbookViewId="0">
      <selection activeCell="B10" sqref="B10"/>
    </sheetView>
  </sheetViews>
  <sheetFormatPr defaultRowHeight="14.25" x14ac:dyDescent="0.2"/>
  <cols>
    <col min="1" max="1" width="20.44140625" bestFit="1" customWidth="1"/>
    <col min="2" max="2" width="12.5546875" bestFit="1" customWidth="1"/>
    <col min="3" max="3" width="24.77734375" bestFit="1" customWidth="1"/>
    <col min="4" max="4" width="17.5546875" bestFit="1" customWidth="1"/>
    <col min="5" max="5" width="34.21875" bestFit="1" customWidth="1"/>
    <col min="6" max="6" width="21.33203125" bestFit="1" customWidth="1"/>
    <col min="7" max="7" width="9.5546875" bestFit="1" customWidth="1"/>
    <col min="8" max="8" width="3.33203125" bestFit="1" customWidth="1"/>
    <col min="9" max="9" width="4.77734375" bestFit="1" customWidth="1"/>
    <col min="10" max="10" width="3.44140625" bestFit="1" customWidth="1"/>
    <col min="11" max="11" width="4.109375" bestFit="1" customWidth="1"/>
    <col min="12" max="12" width="3.88671875" bestFit="1" customWidth="1"/>
    <col min="13" max="13" width="4" bestFit="1" customWidth="1"/>
    <col min="14" max="16" width="6" bestFit="1" customWidth="1"/>
    <col min="18" max="18" width="7.6640625" bestFit="1" customWidth="1"/>
    <col min="19" max="19" width="8.6640625" bestFit="1" customWidth="1"/>
    <col min="20" max="20" width="7.44140625" bestFit="1" customWidth="1"/>
    <col min="21" max="21" width="6" bestFit="1" customWidth="1"/>
    <col min="23" max="23" width="7.109375" bestFit="1" customWidth="1"/>
  </cols>
  <sheetData>
    <row r="1" spans="1:23" ht="19.5" x14ac:dyDescent="0.2">
      <c r="A1" s="112" t="s">
        <v>18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R1" s="112" t="s">
        <v>19</v>
      </c>
      <c r="S1" s="112"/>
      <c r="T1" s="112"/>
      <c r="U1" s="112"/>
      <c r="W1" s="4" t="s">
        <v>20</v>
      </c>
    </row>
    <row r="2" spans="1:23" x14ac:dyDescent="0.2">
      <c r="A2" t="s">
        <v>21</v>
      </c>
      <c r="B2" t="s">
        <v>22</v>
      </c>
      <c r="C2" t="s">
        <v>23</v>
      </c>
      <c r="D2" t="s">
        <v>24</v>
      </c>
      <c r="E2" t="s">
        <v>25</v>
      </c>
      <c r="F2" t="s">
        <v>26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36</v>
      </c>
      <c r="R2" t="s">
        <v>37</v>
      </c>
      <c r="S2" t="s">
        <v>38</v>
      </c>
      <c r="T2" t="s">
        <v>39</v>
      </c>
      <c r="U2" t="s">
        <v>40</v>
      </c>
      <c r="W2" s="1" t="s">
        <v>41</v>
      </c>
    </row>
    <row r="3" spans="1:23" x14ac:dyDescent="0.2">
      <c r="A3" s="5" t="s">
        <v>42</v>
      </c>
      <c r="B3" s="5" t="s">
        <v>43</v>
      </c>
      <c r="C3" t="s">
        <v>44</v>
      </c>
      <c r="D3" t="s">
        <v>45</v>
      </c>
      <c r="E3" t="s">
        <v>46</v>
      </c>
      <c r="F3" t="s">
        <v>47</v>
      </c>
      <c r="G3" s="6" t="str">
        <f xml:space="preserve"> IF( OR(RIGHT(KeyTable[[#This Row],[StyleName]], 4) = "Date", RIGHT(KeyTable[[#This Row],[StyleName]], 3) = "Val"), "OCRB", "Bahnschrift")</f>
        <v>Bahnschrift</v>
      </c>
      <c r="H3" s="7" t="s">
        <v>48</v>
      </c>
      <c r="I3" s="1" t="s">
        <v>49</v>
      </c>
      <c r="J3" s="1"/>
      <c r="K3" s="7"/>
      <c r="L3" s="8"/>
      <c r="M3" s="9"/>
      <c r="N3" s="10" t="str" cm="1">
        <f t="array" ref="N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O3" s="11" t="str" cm="1">
        <f t="array" ref="O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P3" s="12" t="str" cm="1">
        <f t="array" ref="P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3" t="b">
        <v>1</v>
      </c>
      <c r="S3" t="s">
        <v>50</v>
      </c>
      <c r="T3">
        <v>700</v>
      </c>
      <c r="U3" t="b" cm="1">
        <f t="array" aca="1" ref="U3" ca="1">AND(ConitionalTable[[#This Row],[Column1]]=BoolYes,ConitionalTable[[#This Row],[Column2]]&lt;&gt;"BadValue",OR(ConitionalTable[[#This Row],[Column3]]&gt;0, NOT(SampleOptionTable[UseCol3])))</f>
        <v>1</v>
      </c>
      <c r="W3" s="1" t="b">
        <v>0</v>
      </c>
    </row>
    <row r="4" spans="1:23" x14ac:dyDescent="0.2">
      <c r="A4" s="13" t="s">
        <v>51</v>
      </c>
      <c r="B4" s="13" t="s">
        <v>52</v>
      </c>
      <c r="C4" t="s">
        <v>44</v>
      </c>
      <c r="D4" t="s">
        <v>45</v>
      </c>
      <c r="E4" t="s">
        <v>46</v>
      </c>
      <c r="F4" t="s">
        <v>47</v>
      </c>
      <c r="G4" s="6" t="str">
        <f xml:space="preserve"> IF( OR(RIGHT(KeyTable[[#This Row],[StyleName]], 4) = "Date", RIGHT(KeyTable[[#This Row],[StyleName]], 3) = "Val"), "OCRB", "Bahnschrift")</f>
        <v>Bahnschrift</v>
      </c>
      <c r="H4" s="7" t="s">
        <v>48</v>
      </c>
      <c r="I4" s="1" t="s">
        <v>53</v>
      </c>
      <c r="J4" s="1"/>
      <c r="K4" s="7" t="s">
        <v>54</v>
      </c>
      <c r="L4" s="8"/>
      <c r="M4" s="9"/>
      <c r="N4" s="10" t="str" cm="1">
        <f t="array" ref="N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T1L35</v>
      </c>
      <c r="O4" s="11" t="str" cm="1">
        <f t="array" ref="O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P4" s="14" t="str" cm="1">
        <f t="array" ref="P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4" t="b">
        <v>0</v>
      </c>
      <c r="S4" t="s">
        <v>55</v>
      </c>
      <c r="T4">
        <v>5</v>
      </c>
      <c r="U4" t="b" cm="1">
        <f t="array" aca="1" ref="U4" ca="1">AND(ConitionalTable[[#This Row],[Column1]]=BoolYes,ConitionalTable[[#This Row],[Column2]]&lt;&gt;"BadValue",OR(ConitionalTable[[#This Row],[Column3]]&gt;0, NOT(SampleOptionTable[UseCol3])))</f>
        <v>0</v>
      </c>
    </row>
    <row r="5" spans="1:23" x14ac:dyDescent="0.2">
      <c r="A5" s="15" t="s">
        <v>56</v>
      </c>
      <c r="B5" s="15" t="s">
        <v>57</v>
      </c>
      <c r="C5" t="s">
        <v>58</v>
      </c>
      <c r="D5" t="s">
        <v>45</v>
      </c>
      <c r="E5" t="s">
        <v>59</v>
      </c>
      <c r="G5" s="6" t="str">
        <f xml:space="preserve"> IF( OR(RIGHT(KeyTable[[#This Row],[StyleName]], 4) = "Date", RIGHT(KeyTable[[#This Row],[StyleName]], 3) = "Val"), "OCRB", "Bahnschrift")</f>
        <v>Bahnschrift</v>
      </c>
      <c r="H5" s="7" t="s">
        <v>49</v>
      </c>
      <c r="I5" s="1" t="s">
        <v>60</v>
      </c>
      <c r="J5" s="1"/>
      <c r="K5" s="7" t="s">
        <v>61</v>
      </c>
      <c r="L5" s="8"/>
      <c r="M5" s="9"/>
      <c r="N5" s="10" t="str" cm="1">
        <f t="array" ref="N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B2D25</v>
      </c>
      <c r="O5" s="11" t="str" cm="1">
        <f t="array" ref="O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P5" s="14" t="str" cm="1">
        <f t="array" ref="P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5" t="b">
        <v>1</v>
      </c>
      <c r="T5">
        <v>-7</v>
      </c>
      <c r="U5" t="b" cm="1">
        <f t="array" aca="1" ref="U5" ca="1">AND(ConitionalTable[[#This Row],[Column1]]=BoolYes,ConitionalTable[[#This Row],[Column2]]&lt;&gt;"BadValue",OR(ConitionalTable[[#This Row],[Column3]]&gt;0, NOT(SampleOptionTable[UseCol3])))</f>
        <v>1</v>
      </c>
    </row>
    <row r="6" spans="1:23" x14ac:dyDescent="0.2">
      <c r="A6" s="14" t="s">
        <v>62</v>
      </c>
      <c r="B6" s="14" t="s">
        <v>63</v>
      </c>
      <c r="C6" t="s">
        <v>58</v>
      </c>
      <c r="D6" t="s">
        <v>45</v>
      </c>
      <c r="E6" t="s">
        <v>59</v>
      </c>
      <c r="G6" s="6" t="str">
        <f xml:space="preserve"> IF( OR(RIGHT(KeyTable[[#This Row],[StyleName]], 4) = "Date", RIGHT(KeyTable[[#This Row],[StyleName]], 3) = "Val"), "OCRB", "Bahnschrift")</f>
        <v>OCRB</v>
      </c>
      <c r="H6" s="7" t="s">
        <v>49</v>
      </c>
      <c r="I6" s="1" t="s">
        <v>60</v>
      </c>
      <c r="J6" s="1"/>
      <c r="K6" s="7" t="s">
        <v>64</v>
      </c>
      <c r="L6" s="8"/>
      <c r="M6" s="9"/>
      <c r="N6" s="10" t="str" cm="1">
        <f t="array" ref="N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B2D15</v>
      </c>
      <c r="O6" s="11" t="str" cm="1">
        <f t="array" ref="O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P6" s="14" t="str" cm="1">
        <f t="array" ref="P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6" t="b">
        <v>1</v>
      </c>
      <c r="S6" t="s">
        <v>65</v>
      </c>
      <c r="T6">
        <v>20</v>
      </c>
      <c r="U6" t="b" cm="1">
        <f t="array" aca="1" ref="U6" ca="1">AND(ConitionalTable[[#This Row],[Column1]]=BoolYes,ConitionalTable[[#This Row],[Column2]]&lt;&gt;"BadValue",OR(ConitionalTable[[#This Row],[Column3]]&gt;0, NOT(SampleOptionTable[UseCol3])))</f>
        <v>1</v>
      </c>
    </row>
    <row r="7" spans="1:23" ht="15" thickBot="1" x14ac:dyDescent="0.25">
      <c r="A7" s="16" t="s">
        <v>66</v>
      </c>
      <c r="B7" s="6" t="s">
        <v>67</v>
      </c>
      <c r="C7" s="17" t="s">
        <v>58</v>
      </c>
      <c r="D7" s="17" t="s">
        <v>45</v>
      </c>
      <c r="E7" s="17" t="s">
        <v>59</v>
      </c>
      <c r="F7" s="17"/>
      <c r="G7" s="18" t="str">
        <f xml:space="preserve"> IF( OR(RIGHT(KeyTable[[#This Row],[StyleName]], 4) = "Date", RIGHT(KeyTable[[#This Row],[StyleName]], 3) = "Val"), "OCRB", "Bahnschrift")</f>
        <v>Bahnschrift</v>
      </c>
      <c r="H7" s="19" t="s">
        <v>49</v>
      </c>
      <c r="I7" s="20" t="s">
        <v>60</v>
      </c>
      <c r="J7" s="20"/>
      <c r="K7" s="19" t="s">
        <v>68</v>
      </c>
      <c r="L7" s="20"/>
      <c r="M7" s="21"/>
      <c r="N7" s="22" t="str" cm="1">
        <f t="array" ref="N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B2D5</v>
      </c>
      <c r="O7" s="23" t="str" cm="1">
        <f t="array" ref="O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P7" s="24" t="str" cm="1">
        <f t="array" ref="P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7" t="b">
        <v>1</v>
      </c>
      <c r="T7">
        <v>-100</v>
      </c>
      <c r="U7" t="b" cm="1">
        <f t="array" aca="1" ref="U7" ca="1">AND(ConitionalTable[[#This Row],[Column1]]=BoolYes,ConitionalTable[[#This Row],[Column2]]&lt;&gt;"BadValue",OR(ConitionalTable[[#This Row],[Column3]]&gt;0, NOT(SampleOptionTable[UseCol3])))</f>
        <v>1</v>
      </c>
    </row>
    <row r="8" spans="1:23" x14ac:dyDescent="0.2">
      <c r="A8" s="25" t="s">
        <v>69</v>
      </c>
      <c r="B8" s="25" t="s">
        <v>70</v>
      </c>
      <c r="C8" t="s">
        <v>44</v>
      </c>
      <c r="D8" t="s">
        <v>45</v>
      </c>
      <c r="E8" t="s">
        <v>71</v>
      </c>
      <c r="F8" t="s">
        <v>72</v>
      </c>
      <c r="G8" s="26" t="str">
        <f xml:space="preserve"> IF( OR(RIGHT(KeyTable[[#This Row],[StyleName]], 4) = "Date", RIGHT(KeyTable[[#This Row],[StyleName]], 3) = "Val"), "OCRB", "Bahnschrift")</f>
        <v>Bahnschrift</v>
      </c>
      <c r="H8" s="7" t="s">
        <v>48</v>
      </c>
      <c r="I8" s="1" t="s">
        <v>49</v>
      </c>
      <c r="J8" s="1" t="s">
        <v>49</v>
      </c>
      <c r="K8" s="27"/>
      <c r="L8" s="28" t="s">
        <v>61</v>
      </c>
      <c r="M8" s="29" t="s">
        <v>14</v>
      </c>
      <c r="N8" s="30" t="str" cm="1">
        <f t="array" ref="N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O8" s="31" t="str" cm="1">
        <f t="array" ref="O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P8" s="32" t="str" cm="1">
        <f t="array" ref="P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T2</v>
      </c>
      <c r="R8" t="b">
        <v>1</v>
      </c>
      <c r="U8" t="b" cm="1">
        <f t="array" aca="1" ref="U8" ca="1">AND(ConitionalTable[[#This Row],[Column1]]=BoolYes,ConitionalTable[[#This Row],[Column2]]&lt;&gt;"BadValue",OR(ConitionalTable[[#This Row],[Column3]]&gt;0, NOT(SampleOptionTable[UseCol3])))</f>
        <v>1</v>
      </c>
    </row>
    <row r="9" spans="1:23" x14ac:dyDescent="0.2">
      <c r="A9" s="33" t="s">
        <v>73</v>
      </c>
      <c r="B9" s="33" t="s">
        <v>74</v>
      </c>
      <c r="C9" t="s">
        <v>44</v>
      </c>
      <c r="D9" t="s">
        <v>45</v>
      </c>
      <c r="E9" t="s">
        <v>71</v>
      </c>
      <c r="F9" t="s">
        <v>47</v>
      </c>
      <c r="G9" s="6" t="str">
        <f xml:space="preserve"> IF( OR(RIGHT(KeyTable[[#This Row],[StyleName]], 4) = "Date", RIGHT(KeyTable[[#This Row],[StyleName]], 3) = "Val"), "OCRB", "Bahnschrift")</f>
        <v>Bahnschrift</v>
      </c>
      <c r="H9" s="7" t="s">
        <v>53</v>
      </c>
      <c r="I9" s="1" t="s">
        <v>53</v>
      </c>
      <c r="J9" s="1"/>
      <c r="K9" s="7"/>
      <c r="L9" s="8" t="s">
        <v>75</v>
      </c>
      <c r="M9" s="9"/>
      <c r="N9" s="10" t="str" cm="1">
        <f t="array" ref="N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T1D25</v>
      </c>
      <c r="O9" s="11" t="str" cm="1">
        <f t="array" ref="O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T1L50</v>
      </c>
      <c r="P9" s="11" t="str" cm="1">
        <f t="array" ref="P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9" t="b">
        <v>1</v>
      </c>
      <c r="T9">
        <v>80</v>
      </c>
      <c r="U9" t="b" cm="1">
        <f t="array" aca="1" ref="U9" ca="1">AND(ConitionalTable[[#This Row],[Column1]]=BoolYes,ConitionalTable[[#This Row],[Column2]]&lt;&gt;"BadValue",OR(ConitionalTable[[#This Row],[Column3]]&gt;0, NOT(SampleOptionTable[UseCol3])))</f>
        <v>1</v>
      </c>
    </row>
    <row r="10" spans="1:23" x14ac:dyDescent="0.2">
      <c r="A10" s="34" t="s">
        <v>76</v>
      </c>
      <c r="B10" s="34" t="s">
        <v>77</v>
      </c>
      <c r="C10" t="s">
        <v>78</v>
      </c>
      <c r="D10" t="s">
        <v>45</v>
      </c>
      <c r="E10" t="s">
        <v>79</v>
      </c>
      <c r="G10" s="6" t="str">
        <f xml:space="preserve"> IF( OR(RIGHT(KeyTable[[#This Row],[StyleName]], 4) = "Date", RIGHT(KeyTable[[#This Row],[StyleName]], 3) = "Val"), "OCRB", "Bahnschrift")</f>
        <v>Bahnschrift</v>
      </c>
      <c r="H10" s="7" t="s">
        <v>48</v>
      </c>
      <c r="I10" s="1" t="s">
        <v>48</v>
      </c>
      <c r="J10" s="1"/>
      <c r="K10" s="7" t="s">
        <v>14</v>
      </c>
      <c r="L10" s="8" t="s">
        <v>61</v>
      </c>
      <c r="M10" s="9"/>
      <c r="N10" s="10" t="str" cm="1">
        <f t="array" ref="N1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O10" s="11" t="str" cm="1">
        <f t="array" ref="O1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P10" s="11" t="str" cm="1">
        <f t="array" ref="P1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U10" t="b" cm="1">
        <f t="array" aca="1" ref="U10" ca="1">AND(ConitionalTable[[#This Row],[Column1]]=BoolYes,ConitionalTable[[#This Row],[Column2]]&lt;&gt;"BadValue",OR(ConitionalTable[[#This Row],[Column3]]&gt;0, NOT(SampleOptionTable[UseCol3])))</f>
        <v>0</v>
      </c>
    </row>
    <row r="11" spans="1:23" ht="15" thickBot="1" x14ac:dyDescent="0.25">
      <c r="A11" s="35" t="s">
        <v>80</v>
      </c>
      <c r="B11" s="35" t="s">
        <v>81</v>
      </c>
      <c r="C11" s="17" t="s">
        <v>78</v>
      </c>
      <c r="D11" s="17" t="s">
        <v>45</v>
      </c>
      <c r="E11" s="17" t="s">
        <v>79</v>
      </c>
      <c r="F11" s="17" t="s">
        <v>82</v>
      </c>
      <c r="G11" s="18" t="str">
        <f xml:space="preserve"> IF( OR(RIGHT(KeyTable[[#This Row],[StyleName]], 4) = "Date", RIGHT(KeyTable[[#This Row],[StyleName]], 3) = "Val"), "OCRB", "Bahnschrift")</f>
        <v>Bahnschrift</v>
      </c>
      <c r="H11" s="19" t="s">
        <v>48</v>
      </c>
      <c r="I11" s="20" t="s">
        <v>48</v>
      </c>
      <c r="J11" s="20" t="s">
        <v>53</v>
      </c>
      <c r="K11" s="19"/>
      <c r="L11" s="20"/>
      <c r="M11" s="21" t="s">
        <v>54</v>
      </c>
      <c r="N11" s="22" t="str" cm="1">
        <f t="array" ref="N1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O11" s="23" t="str" cm="1">
        <f t="array" ref="O1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B1D50</v>
      </c>
      <c r="P11" s="23" t="str" cm="1">
        <f t="array" ref="P1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T1L35</v>
      </c>
      <c r="U11" t="b" cm="1">
        <f t="array" aca="1" ref="U11" ca="1">AND(ConitionalTable[[#This Row],[Column1]]=BoolYes,ConitionalTable[[#This Row],[Column2]]&lt;&gt;"BadValue",OR(ConitionalTable[[#This Row],[Column3]]&gt;0, NOT(SampleOptionTable[UseCol3])))</f>
        <v>0</v>
      </c>
    </row>
    <row r="12" spans="1:23" x14ac:dyDescent="0.2">
      <c r="A12" s="36" t="s">
        <v>83</v>
      </c>
      <c r="B12" s="36" t="s">
        <v>84</v>
      </c>
      <c r="C12" t="s">
        <v>85</v>
      </c>
      <c r="D12" s="37" t="s">
        <v>45</v>
      </c>
      <c r="E12" s="37" t="s">
        <v>86</v>
      </c>
      <c r="F12" s="37" t="s">
        <v>87</v>
      </c>
      <c r="G12" s="26" t="str">
        <f xml:space="preserve"> IF( OR(RIGHT(KeyTable[[#This Row],[StyleName]], 4) = "Date", RIGHT(KeyTable[[#This Row],[StyleName]], 3) = "Val"), "OCRB", "Bahnschrift")</f>
        <v>Bahnschrift</v>
      </c>
      <c r="H12" s="7" t="s">
        <v>88</v>
      </c>
      <c r="I12" s="8" t="s">
        <v>88</v>
      </c>
      <c r="J12" s="8"/>
      <c r="K12" s="27" t="s">
        <v>89</v>
      </c>
      <c r="L12" s="28"/>
      <c r="M12" s="29"/>
      <c r="N12" s="30" t="str" cm="1">
        <f t="array" ref="N1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O12" s="31" t="str" cm="1">
        <f t="array" ref="O1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P12" s="31" t="str" cm="1">
        <f t="array" ref="P1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2" t="b">
        <v>0</v>
      </c>
      <c r="U12" t="b" cm="1">
        <f t="array" aca="1" ref="U12" ca="1">AND(ConitionalTable[[#This Row],[Column1]]=BoolYes,ConitionalTable[[#This Row],[Column2]]&lt;&gt;"BadValue",OR(ConitionalTable[[#This Row],[Column3]]&gt;0, NOT(SampleOptionTable[UseCol3])))</f>
        <v>0</v>
      </c>
    </row>
    <row r="13" spans="1:23" x14ac:dyDescent="0.2">
      <c r="A13" s="38" t="s">
        <v>90</v>
      </c>
      <c r="B13" s="38" t="s">
        <v>91</v>
      </c>
      <c r="C13" t="s">
        <v>85</v>
      </c>
      <c r="D13" s="37" t="s">
        <v>45</v>
      </c>
      <c r="E13" s="37" t="s">
        <v>86</v>
      </c>
      <c r="F13" s="37" t="s">
        <v>92</v>
      </c>
      <c r="G13" s="6" t="str">
        <f xml:space="preserve"> IF( OR(RIGHT(KeyTable[[#This Row],[StyleName]], 4) = "Date", RIGHT(KeyTable[[#This Row],[StyleName]], 3) = "Val"), "OCRB", "Bahnschrift")</f>
        <v>Bahnschrift</v>
      </c>
      <c r="H13" s="7" t="s">
        <v>88</v>
      </c>
      <c r="I13" s="8" t="s">
        <v>88</v>
      </c>
      <c r="J13" s="8"/>
      <c r="K13" s="7"/>
      <c r="L13" s="8"/>
      <c r="M13" s="9"/>
      <c r="N13" s="10" t="str" cm="1">
        <f t="array" ref="N1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O13" s="11" t="str" cm="1">
        <f t="array" ref="O1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P13" s="14" t="str" cm="1">
        <f t="array" ref="P1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3" t="b">
        <v>0</v>
      </c>
      <c r="T13">
        <v>-56</v>
      </c>
      <c r="U13" t="b" cm="1">
        <f t="array" aca="1" ref="U13" ca="1">AND(ConitionalTable[[#This Row],[Column1]]=BoolYes,ConitionalTable[[#This Row],[Column2]]&lt;&gt;"BadValue",OR(ConitionalTable[[#This Row],[Column3]]&gt;0, NOT(SampleOptionTable[UseCol3])))</f>
        <v>0</v>
      </c>
    </row>
    <row r="14" spans="1:23" x14ac:dyDescent="0.2">
      <c r="A14" s="39" t="s">
        <v>93</v>
      </c>
      <c r="B14" s="40" t="s">
        <v>94</v>
      </c>
      <c r="C14" t="s">
        <v>85</v>
      </c>
      <c r="D14" s="37" t="s">
        <v>45</v>
      </c>
      <c r="E14" s="37" t="s">
        <v>86</v>
      </c>
      <c r="F14" s="37" t="s">
        <v>92</v>
      </c>
      <c r="G14" s="6" t="str">
        <f xml:space="preserve"> IF( OR(RIGHT(KeyTable[[#This Row],[StyleName]], 4) = "Date", RIGHT(KeyTable[[#This Row],[StyleName]], 3) = "Val"), "OCRB", "Bahnschrift")</f>
        <v>Bahnschrift</v>
      </c>
      <c r="H14" s="7" t="s">
        <v>88</v>
      </c>
      <c r="I14" s="8" t="s">
        <v>88</v>
      </c>
      <c r="J14" s="8"/>
      <c r="K14" s="7"/>
      <c r="L14" s="8"/>
      <c r="M14" s="9"/>
      <c r="N14" s="10" t="str" cm="1">
        <f t="array" ref="N1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A1D25</v>
      </c>
      <c r="O14" s="11" t="str" cm="1">
        <f t="array" ref="O1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P14" s="14" t="str" cm="1">
        <f t="array" ref="P1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4" t="b">
        <v>0</v>
      </c>
      <c r="U14" t="b" cm="1">
        <f t="array" aca="1" ref="U14" ca="1">AND(ConitionalTable[[#This Row],[Column1]]=BoolYes,ConitionalTable[[#This Row],[Column2]]&lt;&gt;"BadValue",OR(ConitionalTable[[#This Row],[Column3]]&gt;0, NOT(SampleOptionTable[UseCol3])))</f>
        <v>0</v>
      </c>
    </row>
    <row r="15" spans="1:23" x14ac:dyDescent="0.2">
      <c r="A15" s="41" t="s">
        <v>95</v>
      </c>
      <c r="B15" s="41" t="s">
        <v>96</v>
      </c>
      <c r="C15" s="42" t="s">
        <v>97</v>
      </c>
      <c r="D15" s="42" t="s">
        <v>98</v>
      </c>
      <c r="E15" s="42" t="s">
        <v>99</v>
      </c>
      <c r="F15" s="42" t="s">
        <v>100</v>
      </c>
      <c r="G15" s="6" t="str">
        <f xml:space="preserve"> IF( OR(RIGHT(KeyTable[[#This Row],[StyleName]], 4) = "Date", RIGHT(KeyTable[[#This Row],[StyleName]], 3) = "Val"), "OCRB", "Bahnschrift")</f>
        <v>Bahnschrift</v>
      </c>
      <c r="H15" s="43" t="s">
        <v>88</v>
      </c>
      <c r="I15" s="44" t="s">
        <v>88</v>
      </c>
      <c r="J15" s="44"/>
      <c r="K15" s="43"/>
      <c r="L15" s="44" t="s">
        <v>89</v>
      </c>
      <c r="M15" s="9"/>
      <c r="N15" s="10" t="str" cm="1">
        <f t="array" ref="N1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A1L40</v>
      </c>
      <c r="O15" s="11" t="str" cm="1">
        <f t="array" ref="O1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P15" s="14" t="str" cm="1">
        <f t="array" ref="P1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5" t="b">
        <v>0</v>
      </c>
      <c r="U15" t="b" cm="1">
        <f t="array" aca="1" ref="U15" ca="1">AND(ConitionalTable[[#This Row],[Column1]]=BoolYes,ConitionalTable[[#This Row],[Column2]]&lt;&gt;"BadValue",OR(ConitionalTable[[#This Row],[Column3]]&gt;0, NOT(SampleOptionTable[UseCol3])))</f>
        <v>0</v>
      </c>
    </row>
    <row r="16" spans="1:23" x14ac:dyDescent="0.2">
      <c r="A16" s="45" t="s">
        <v>101</v>
      </c>
      <c r="B16" s="46" t="s">
        <v>102</v>
      </c>
      <c r="C16" t="s">
        <v>85</v>
      </c>
      <c r="D16" s="37" t="s">
        <v>98</v>
      </c>
      <c r="E16" s="37" t="s">
        <v>99</v>
      </c>
      <c r="F16" s="37" t="s">
        <v>100</v>
      </c>
      <c r="G16" s="6" t="str">
        <f xml:space="preserve"> IF( OR(RIGHT(KeyTable[[#This Row],[StyleName]], 4) = "Date", RIGHT(KeyTable[[#This Row],[StyleName]], 3) = "Val"), "OCRB", "Bahnschrift")</f>
        <v>OCRB</v>
      </c>
      <c r="H16" s="7" t="s">
        <v>88</v>
      </c>
      <c r="I16" s="8" t="s">
        <v>88</v>
      </c>
      <c r="J16" s="8"/>
      <c r="K16" s="7" t="s">
        <v>103</v>
      </c>
      <c r="L16" s="8" t="s">
        <v>89</v>
      </c>
      <c r="M16" s="9"/>
      <c r="N16" s="10" t="str" cm="1">
        <f t="array" ref="N1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O16" s="11" t="str" cm="1">
        <f t="array" ref="O1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P16" s="14" t="str" cm="1">
        <f t="array" ref="P1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6" t="b">
        <v>0</v>
      </c>
      <c r="U16" t="b" cm="1">
        <f t="array" aca="1" ref="U16" ca="1">AND(ConitionalTable[[#This Row],[Column1]]=BoolYes,ConitionalTable[[#This Row],[Column2]]&lt;&gt;"BadValue",OR(ConitionalTable[[#This Row],[Column3]]&gt;0, NOT(SampleOptionTable[UseCol3])))</f>
        <v>0</v>
      </c>
    </row>
    <row r="17" spans="1:21" x14ac:dyDescent="0.2">
      <c r="A17" s="47" t="s">
        <v>104</v>
      </c>
      <c r="B17" s="48" t="s">
        <v>105</v>
      </c>
      <c r="C17" s="42" t="s">
        <v>97</v>
      </c>
      <c r="D17" s="42" t="s">
        <v>98</v>
      </c>
      <c r="E17" s="42" t="s">
        <v>99</v>
      </c>
      <c r="F17" s="42" t="s">
        <v>100</v>
      </c>
      <c r="G17" s="6" t="str">
        <f xml:space="preserve"> IF( OR(RIGHT(KeyTable[[#This Row],[StyleName]], 4) = "Date", RIGHT(KeyTable[[#This Row],[StyleName]], 3) = "Val"), "OCRB", "Bahnschrift")</f>
        <v>Bahnschrift</v>
      </c>
      <c r="H17" s="43" t="s">
        <v>88</v>
      </c>
      <c r="I17" s="44" t="s">
        <v>88</v>
      </c>
      <c r="J17" s="44"/>
      <c r="K17" s="43" t="s">
        <v>106</v>
      </c>
      <c r="L17" s="44" t="s">
        <v>89</v>
      </c>
      <c r="M17" s="9"/>
      <c r="N17" s="10" t="str" cm="1">
        <f t="array" ref="N1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A1L80</v>
      </c>
      <c r="O17" s="11" t="str" cm="1">
        <f t="array" ref="O1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P17" s="14" t="str" cm="1">
        <f t="array" ref="P1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7" t="b">
        <v>0</v>
      </c>
      <c r="U17" t="b" cm="1">
        <f t="array" aca="1" ref="U17" ca="1">AND(ConitionalTable[[#This Row],[Column1]]=BoolYes,ConitionalTable[[#This Row],[Column2]]&lt;&gt;"BadValue",OR(ConitionalTable[[#This Row],[Column3]]&gt;0, NOT(SampleOptionTable[UseCol3])))</f>
        <v>0</v>
      </c>
    </row>
    <row r="18" spans="1:21" ht="15" thickBot="1" x14ac:dyDescent="0.25">
      <c r="A18" s="49" t="s">
        <v>107</v>
      </c>
      <c r="B18" s="49" t="s">
        <v>108</v>
      </c>
      <c r="C18" s="50" t="s">
        <v>109</v>
      </c>
      <c r="D18" s="50" t="s">
        <v>45</v>
      </c>
      <c r="E18" s="50" t="s">
        <v>110</v>
      </c>
      <c r="F18" s="17" t="s">
        <v>111</v>
      </c>
      <c r="G18" s="18" t="str">
        <f xml:space="preserve"> IF( OR(RIGHT(KeyTable[[#This Row],[StyleName]], 4) = "Date", RIGHT(KeyTable[[#This Row],[StyleName]], 3) = "Val"), "OCRB", "Bahnschrift")</f>
        <v>Bahnschrift</v>
      </c>
      <c r="H18" s="51" t="s">
        <v>88</v>
      </c>
      <c r="I18" s="52" t="s">
        <v>88</v>
      </c>
      <c r="J18" s="52" t="s">
        <v>88</v>
      </c>
      <c r="K18" s="51" t="s">
        <v>103</v>
      </c>
      <c r="L18" s="52"/>
      <c r="M18" s="21"/>
      <c r="N18" s="53" t="str" cm="1">
        <f t="array" ref="N1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O18" s="23" t="str" cm="1">
        <f t="array" ref="O1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P18" s="24" t="str" cm="1">
        <f t="array" ref="P1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A1L80</v>
      </c>
      <c r="R18" t="b">
        <v>0</v>
      </c>
      <c r="U18" t="b" cm="1">
        <f t="array" aca="1" ref="U18" ca="1">AND(ConitionalTable[[#This Row],[Column1]]=BoolYes,ConitionalTable[[#This Row],[Column2]]&lt;&gt;"BadValue",OR(ConitionalTable[[#This Row],[Column3]]&gt;0, NOT(SampleOptionTable[UseCol3])))</f>
        <v>0</v>
      </c>
    </row>
    <row r="19" spans="1:21" x14ac:dyDescent="0.2">
      <c r="A19" s="54" t="s">
        <v>112</v>
      </c>
      <c r="B19" s="54" t="s">
        <v>113</v>
      </c>
      <c r="C19" t="s">
        <v>44</v>
      </c>
      <c r="D19" t="s">
        <v>45</v>
      </c>
      <c r="E19" t="s">
        <v>86</v>
      </c>
      <c r="F19" t="s">
        <v>47</v>
      </c>
      <c r="G19" s="26" t="str">
        <f xml:space="preserve"> IF( OR(RIGHT(KeyTable[[#This Row],[StyleName]], 4) = "Date", RIGHT(KeyTable[[#This Row],[StyleName]], 3) = "Val"), "OCRB", "Bahnschrift")</f>
        <v>Bahnschrift</v>
      </c>
      <c r="H19" s="7" t="s">
        <v>114</v>
      </c>
      <c r="I19" s="1" t="s">
        <v>114</v>
      </c>
      <c r="J19" s="1"/>
      <c r="K19" s="7"/>
      <c r="L19" s="8"/>
      <c r="M19" s="9"/>
      <c r="N19" s="30" t="str" cm="1">
        <f t="array" ref="N1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A2D50</v>
      </c>
      <c r="O19" s="31" t="str" cm="1">
        <f t="array" ref="O1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P19" s="32" t="str" cm="1">
        <f t="array" ref="P1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9" t="b">
        <v>0</v>
      </c>
      <c r="U19" t="b" cm="1">
        <f t="array" aca="1" ref="U19" ca="1">AND(ConitionalTable[[#This Row],[Column1]]=BoolYes,ConitionalTable[[#This Row],[Column2]]&lt;&gt;"BadValue",OR(ConitionalTable[[#This Row],[Column3]]&gt;0, NOT(SampleOptionTable[UseCol3])))</f>
        <v>0</v>
      </c>
    </row>
    <row r="20" spans="1:21" x14ac:dyDescent="0.2">
      <c r="A20" s="55" t="s">
        <v>115</v>
      </c>
      <c r="B20" s="55" t="s">
        <v>116</v>
      </c>
      <c r="C20" t="s">
        <v>44</v>
      </c>
      <c r="D20" t="s">
        <v>45</v>
      </c>
      <c r="E20" t="s">
        <v>86</v>
      </c>
      <c r="F20" t="s">
        <v>47</v>
      </c>
      <c r="G20" s="6" t="str">
        <f xml:space="preserve"> IF( OR(RIGHT(KeyTable[[#This Row],[StyleName]], 4) = "Date", RIGHT(KeyTable[[#This Row],[StyleName]], 3) = "Val"), "OCRB", "Bahnschrift")</f>
        <v>Bahnschrift</v>
      </c>
      <c r="H20" s="7" t="s">
        <v>114</v>
      </c>
      <c r="I20" s="1" t="s">
        <v>114</v>
      </c>
      <c r="J20" s="1"/>
      <c r="K20" s="7"/>
      <c r="L20" s="8"/>
      <c r="M20" s="9"/>
      <c r="N20" s="10" t="str" cm="1">
        <f t="array" ref="N2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A2D25</v>
      </c>
      <c r="O20" s="11" t="str" cm="1">
        <f t="array" ref="O2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P20" s="14" t="str" cm="1">
        <f t="array" ref="P2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20" t="b">
        <v>0</v>
      </c>
      <c r="U20" t="b" cm="1">
        <f t="array" aca="1" ref="U20" ca="1">AND(ConitionalTable[[#This Row],[Column1]]=BoolYes,ConitionalTable[[#This Row],[Column2]]&lt;&gt;"BadValue",OR(ConitionalTable[[#This Row],[Column3]]&gt;0, NOT(SampleOptionTable[UseCol3])))</f>
        <v>0</v>
      </c>
    </row>
    <row r="21" spans="1:21" x14ac:dyDescent="0.2">
      <c r="A21" s="56" t="s">
        <v>117</v>
      </c>
      <c r="B21" s="56" t="s">
        <v>118</v>
      </c>
      <c r="C21" t="s">
        <v>119</v>
      </c>
      <c r="D21" t="s">
        <v>98</v>
      </c>
      <c r="E21" t="s">
        <v>99</v>
      </c>
      <c r="G21" s="6" t="str">
        <f xml:space="preserve"> IF( OR(RIGHT(KeyTable[[#This Row],[StyleName]], 4) = "Date", RIGHT(KeyTable[[#This Row],[StyleName]], 3) = "Val"), "OCRB", "Bahnschrift")</f>
        <v>Bahnschrift</v>
      </c>
      <c r="H21" s="7" t="s">
        <v>53</v>
      </c>
      <c r="I21" s="1" t="s">
        <v>114</v>
      </c>
      <c r="J21" s="1"/>
      <c r="K21" s="7"/>
      <c r="L21" s="8"/>
      <c r="M21" s="9"/>
      <c r="N21" s="10" t="str" cm="1">
        <f t="array" ref="N2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A2L40</v>
      </c>
      <c r="O21" s="11" t="str" cm="1">
        <f t="array" ref="O2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1" s="14" t="str" cm="1">
        <f t="array" ref="P2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U21" t="b" cm="1">
        <f t="array" aca="1" ref="U21" ca="1">AND(ConitionalTable[[#This Row],[Column1]]=BoolYes,ConitionalTable[[#This Row],[Column2]]&lt;&gt;"BadValue",OR(ConitionalTable[[#This Row],[Column3]]&gt;0, NOT(SampleOptionTable[UseCol3])))</f>
        <v>0</v>
      </c>
    </row>
    <row r="22" spans="1:21" x14ac:dyDescent="0.2">
      <c r="A22" s="57" t="s">
        <v>120</v>
      </c>
      <c r="B22" s="57" t="s">
        <v>121</v>
      </c>
      <c r="C22" t="s">
        <v>119</v>
      </c>
      <c r="D22" t="s">
        <v>98</v>
      </c>
      <c r="E22" t="s">
        <v>99</v>
      </c>
      <c r="F22" t="s">
        <v>122</v>
      </c>
      <c r="G22" s="6" t="str">
        <f xml:space="preserve"> IF( OR(RIGHT(KeyTable[[#This Row],[StyleName]], 4) = "Date", RIGHT(KeyTable[[#This Row],[StyleName]], 3) = "Val"), "OCRB", "Bahnschrift")</f>
        <v>OCRB</v>
      </c>
      <c r="H22" s="7" t="s">
        <v>53</v>
      </c>
      <c r="I22" s="1" t="s">
        <v>114</v>
      </c>
      <c r="J22" s="1"/>
      <c r="K22" s="7" t="s">
        <v>103</v>
      </c>
      <c r="L22" s="8"/>
      <c r="M22" s="9"/>
      <c r="N22" s="10" t="str" cm="1">
        <f t="array" ref="N2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O22" s="11" t="str" cm="1">
        <f t="array" ref="O2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2" s="14" t="str" cm="1">
        <f t="array" ref="P2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3" spans="1:21" x14ac:dyDescent="0.2">
      <c r="A23" s="58" t="s">
        <v>123</v>
      </c>
      <c r="B23" s="59" t="s">
        <v>124</v>
      </c>
      <c r="C23" t="s">
        <v>119</v>
      </c>
      <c r="D23" t="s">
        <v>98</v>
      </c>
      <c r="E23" t="s">
        <v>99</v>
      </c>
      <c r="G23" s="6" t="str">
        <f xml:space="preserve"> IF( OR(RIGHT(KeyTable[[#This Row],[StyleName]], 4) = "Date", RIGHT(KeyTable[[#This Row],[StyleName]], 3) = "Val"), "OCRB", "Bahnschrift")</f>
        <v>OCRB</v>
      </c>
      <c r="H23" s="7" t="s">
        <v>53</v>
      </c>
      <c r="I23" s="1" t="s">
        <v>114</v>
      </c>
      <c r="J23" s="1"/>
      <c r="K23" s="7" t="s">
        <v>103</v>
      </c>
      <c r="L23" s="8"/>
      <c r="M23" s="9"/>
      <c r="N23" s="10" t="str" cm="1">
        <f t="array" ref="N2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O23" s="11" t="str" cm="1">
        <f t="array" ref="O2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3" s="14" t="str" cm="1">
        <f t="array" ref="P2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4" spans="1:21" x14ac:dyDescent="0.2">
      <c r="A24" s="60" t="s">
        <v>125</v>
      </c>
      <c r="B24" s="61" t="s">
        <v>126</v>
      </c>
      <c r="C24" t="s">
        <v>119</v>
      </c>
      <c r="D24" t="s">
        <v>98</v>
      </c>
      <c r="E24" t="s">
        <v>99</v>
      </c>
      <c r="G24" s="6" t="str">
        <f xml:space="preserve"> IF( OR(RIGHT(KeyTable[[#This Row],[StyleName]], 4) = "Date", RIGHT(KeyTable[[#This Row],[StyleName]], 3) = "Val"), "OCRB", "Bahnschrift")</f>
        <v>Bahnschrift</v>
      </c>
      <c r="H24" s="7" t="s">
        <v>53</v>
      </c>
      <c r="I24" s="1" t="s">
        <v>114</v>
      </c>
      <c r="J24" s="1"/>
      <c r="K24" s="7" t="s">
        <v>106</v>
      </c>
      <c r="L24" s="8"/>
      <c r="M24" s="9"/>
      <c r="N24" s="10" t="str" cm="1">
        <f t="array" ref="N2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A2L80</v>
      </c>
      <c r="O24" s="11" t="str" cm="1">
        <f t="array" ref="O2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4" s="14" t="str" cm="1">
        <f t="array" ref="P2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5" spans="1:21" ht="15" thickBot="1" x14ac:dyDescent="0.25">
      <c r="A25" s="62" t="s">
        <v>127</v>
      </c>
      <c r="B25" s="62" t="s">
        <v>128</v>
      </c>
      <c r="C25" s="17" t="s">
        <v>119</v>
      </c>
      <c r="D25" s="17" t="s">
        <v>98</v>
      </c>
      <c r="E25" s="17" t="s">
        <v>129</v>
      </c>
      <c r="F25" s="17" t="s">
        <v>82</v>
      </c>
      <c r="G25" s="18" t="str">
        <f xml:space="preserve"> IF( OR(RIGHT(KeyTable[[#This Row],[StyleName]], 4) = "Date", RIGHT(KeyTable[[#This Row],[StyleName]], 3) = "Val"), "OCRB", "Bahnschrift")</f>
        <v>Bahnschrift</v>
      </c>
      <c r="H25" s="19" t="s">
        <v>114</v>
      </c>
      <c r="I25" s="20" t="s">
        <v>114</v>
      </c>
      <c r="J25" s="20" t="s">
        <v>114</v>
      </c>
      <c r="K25" s="19"/>
      <c r="L25" s="20"/>
      <c r="M25" s="21"/>
      <c r="N25" s="22" t="str" cm="1">
        <f t="array" ref="N2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</v>
      </c>
      <c r="O25" s="23" t="str" cm="1">
        <f t="array" ref="O2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A2D50</v>
      </c>
      <c r="P25" s="24" t="str" cm="1">
        <f t="array" ref="P2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A2L80</v>
      </c>
    </row>
    <row r="26" spans="1:21" x14ac:dyDescent="0.2">
      <c r="A26" s="63" t="s">
        <v>130</v>
      </c>
      <c r="B26" s="63" t="s">
        <v>131</v>
      </c>
      <c r="C26" t="s">
        <v>44</v>
      </c>
      <c r="D26" t="s">
        <v>45</v>
      </c>
      <c r="E26" t="s">
        <v>86</v>
      </c>
      <c r="F26" t="s">
        <v>72</v>
      </c>
      <c r="G26" s="26" t="str">
        <f xml:space="preserve"> IF( OR(RIGHT(KeyTable[[#This Row],[StyleName]], 4) = "Date", RIGHT(KeyTable[[#This Row],[StyleName]], 3) = "Val"), "OCRB", "Bahnschrift")</f>
        <v>Bahnschrift</v>
      </c>
      <c r="H26" s="7" t="s">
        <v>132</v>
      </c>
      <c r="I26" s="1" t="s">
        <v>132</v>
      </c>
      <c r="J26" s="1"/>
      <c r="K26" s="27"/>
      <c r="L26" s="28"/>
      <c r="M26" s="29"/>
      <c r="N26" s="30" t="str" cm="1">
        <f t="array" ref="N2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A3D50</v>
      </c>
      <c r="O26" s="31" t="str" cm="1">
        <f t="array" ref="O2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P26" s="32" t="str" cm="1">
        <f t="array" ref="P2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7" spans="1:21" x14ac:dyDescent="0.2">
      <c r="A27" s="64" t="s">
        <v>133</v>
      </c>
      <c r="B27" s="64" t="s">
        <v>134</v>
      </c>
      <c r="C27" t="s">
        <v>135</v>
      </c>
      <c r="D27" t="s">
        <v>45</v>
      </c>
      <c r="E27" t="s">
        <v>136</v>
      </c>
      <c r="F27" t="s">
        <v>47</v>
      </c>
      <c r="G27" s="6" t="str">
        <f xml:space="preserve"> IF( OR(RIGHT(KeyTable[[#This Row],[StyleName]], 4) = "Date", RIGHT(KeyTable[[#This Row],[StyleName]], 3) = "Val"), "OCRB", "Bahnschrift")</f>
        <v>Bahnschrift</v>
      </c>
      <c r="H27" s="7" t="s">
        <v>132</v>
      </c>
      <c r="I27" s="1" t="s">
        <v>132</v>
      </c>
      <c r="J27" s="1"/>
      <c r="K27" s="7"/>
      <c r="L27" s="8"/>
      <c r="M27" s="9"/>
      <c r="N27" s="10" t="str" cm="1">
        <f t="array" ref="N2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A3D25</v>
      </c>
      <c r="O27" s="11" t="str" cm="1">
        <f t="array" ref="O2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P27" s="14" t="str" cm="1">
        <f t="array" ref="P2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8" spans="1:21" x14ac:dyDescent="0.2">
      <c r="A28" s="65" t="s">
        <v>137</v>
      </c>
      <c r="B28" s="65" t="s">
        <v>138</v>
      </c>
      <c r="C28" t="s">
        <v>58</v>
      </c>
      <c r="D28" t="s">
        <v>45</v>
      </c>
      <c r="E28" t="s">
        <v>139</v>
      </c>
      <c r="G28" s="6" t="str">
        <f xml:space="preserve"> IF( OR(RIGHT(KeyTable[[#This Row],[StyleName]], 4) = "Date", RIGHT(KeyTable[[#This Row],[StyleName]], 3) = "Val"), "OCRB", "Bahnschrift")</f>
        <v>Bahnschrift</v>
      </c>
      <c r="H28" s="66" t="s">
        <v>53</v>
      </c>
      <c r="I28" s="1" t="s">
        <v>132</v>
      </c>
      <c r="J28" s="1"/>
      <c r="K28" s="7"/>
      <c r="L28" s="8"/>
      <c r="M28" s="9"/>
      <c r="N28" s="10" t="str" cm="1">
        <f t="array" ref="N2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A3L40</v>
      </c>
      <c r="O28" s="11" t="str" cm="1">
        <f t="array" ref="O2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8" s="14" t="str" cm="1">
        <f t="array" ref="P2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9" spans="1:21" x14ac:dyDescent="0.2">
      <c r="A29" s="67" t="s">
        <v>140</v>
      </c>
      <c r="B29" s="67" t="s">
        <v>141</v>
      </c>
      <c r="C29" t="s">
        <v>58</v>
      </c>
      <c r="D29" t="s">
        <v>45</v>
      </c>
      <c r="E29" t="s">
        <v>142</v>
      </c>
      <c r="G29" s="6" t="str">
        <f xml:space="preserve"> IF( OR(RIGHT(KeyTable[[#This Row],[StyleName]], 4) = "Date", RIGHT(KeyTable[[#This Row],[StyleName]], 3) = "Val"), "OCRB", "Bahnschrift")</f>
        <v>OCRB</v>
      </c>
      <c r="H29" s="66" t="s">
        <v>53</v>
      </c>
      <c r="I29" s="1" t="s">
        <v>132</v>
      </c>
      <c r="J29" s="1"/>
      <c r="K29" s="7" t="s">
        <v>103</v>
      </c>
      <c r="L29" s="8"/>
      <c r="M29" s="9"/>
      <c r="N29" s="10" t="str" cm="1">
        <f t="array" ref="N2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O29" s="11" t="str" cm="1">
        <f t="array" ref="O2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9" s="14" t="str" cm="1">
        <f t="array" ref="P2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0" spans="1:21" x14ac:dyDescent="0.2">
      <c r="A30" s="68" t="s">
        <v>143</v>
      </c>
      <c r="B30" s="68" t="s">
        <v>144</v>
      </c>
      <c r="C30" t="s">
        <v>58</v>
      </c>
      <c r="D30" t="s">
        <v>45</v>
      </c>
      <c r="E30" t="s">
        <v>142</v>
      </c>
      <c r="G30" s="6" t="str">
        <f xml:space="preserve"> IF( OR(RIGHT(KeyTable[[#This Row],[StyleName]], 4) = "Date", RIGHT(KeyTable[[#This Row],[StyleName]], 3) = "Val"), "OCRB", "Bahnschrift")</f>
        <v>Bahnschrift</v>
      </c>
      <c r="H30" s="66" t="s">
        <v>53</v>
      </c>
      <c r="I30" s="1" t="s">
        <v>132</v>
      </c>
      <c r="J30" s="1"/>
      <c r="K30" s="7" t="s">
        <v>106</v>
      </c>
      <c r="L30" s="8"/>
      <c r="M30" s="9"/>
      <c r="N30" s="10" t="str" cm="1">
        <f t="array" ref="N3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A3L80</v>
      </c>
      <c r="O30" s="11" t="str" cm="1">
        <f t="array" ref="O3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30" s="14" t="str" cm="1">
        <f t="array" ref="P3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1" spans="1:21" ht="15" thickBot="1" x14ac:dyDescent="0.25">
      <c r="A31" s="69" t="s">
        <v>145</v>
      </c>
      <c r="B31" s="69" t="s">
        <v>146</v>
      </c>
      <c r="C31" s="17" t="s">
        <v>147</v>
      </c>
      <c r="D31" s="17" t="s">
        <v>98</v>
      </c>
      <c r="E31" s="17" t="s">
        <v>148</v>
      </c>
      <c r="F31" s="17" t="s">
        <v>82</v>
      </c>
      <c r="G31" s="18" t="str">
        <f xml:space="preserve"> IF( OR(RIGHT(KeyTable[[#This Row],[StyleName]], 4) = "Date", RIGHT(KeyTable[[#This Row],[StyleName]], 3) = "Val"), "OCRB", "Bahnschrift")</f>
        <v>Bahnschrift</v>
      </c>
      <c r="H31" s="19" t="s">
        <v>132</v>
      </c>
      <c r="I31" s="20" t="s">
        <v>132</v>
      </c>
      <c r="J31" s="20" t="s">
        <v>132</v>
      </c>
      <c r="K31" s="19" t="s">
        <v>103</v>
      </c>
      <c r="L31" s="20"/>
      <c r="M31" s="21"/>
      <c r="N31" s="22" t="str" cm="1">
        <f t="array" ref="N3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O31" s="23" t="str" cm="1">
        <f t="array" ref="O3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A3D50</v>
      </c>
      <c r="P31" s="24" t="str" cm="1">
        <f t="array" ref="P3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A3L80</v>
      </c>
    </row>
    <row r="32" spans="1:21" x14ac:dyDescent="0.2">
      <c r="A32" s="70" t="s">
        <v>149</v>
      </c>
      <c r="B32" s="70" t="s">
        <v>150</v>
      </c>
      <c r="C32" t="s">
        <v>44</v>
      </c>
      <c r="D32" t="s">
        <v>45</v>
      </c>
      <c r="E32" t="s">
        <v>86</v>
      </c>
      <c r="F32" t="s">
        <v>47</v>
      </c>
      <c r="G32" s="26" t="str">
        <f xml:space="preserve"> IF( OR(RIGHT(KeyTable[[#This Row],[StyleName]], 4) = "Date", RIGHT(KeyTable[[#This Row],[StyleName]], 3) = "Val"), "OCRB", "Bahnschrift")</f>
        <v>Bahnschrift</v>
      </c>
      <c r="H32" s="7" t="s">
        <v>151</v>
      </c>
      <c r="I32" s="1" t="s">
        <v>151</v>
      </c>
      <c r="J32" s="1"/>
      <c r="K32" s="27"/>
      <c r="L32" s="28"/>
      <c r="M32" s="29"/>
      <c r="N32" s="30" t="str" cm="1">
        <f t="array" ref="N3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A4D50</v>
      </c>
      <c r="O32" s="31" t="str" cm="1">
        <f t="array" ref="O3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P32" s="32" t="str" cm="1">
        <f t="array" ref="P3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3" spans="1:16" x14ac:dyDescent="0.2">
      <c r="A33" s="71" t="s">
        <v>152</v>
      </c>
      <c r="B33" s="71" t="s">
        <v>153</v>
      </c>
      <c r="C33" t="s">
        <v>44</v>
      </c>
      <c r="D33" t="s">
        <v>45</v>
      </c>
      <c r="E33" t="s">
        <v>86</v>
      </c>
      <c r="F33" t="s">
        <v>47</v>
      </c>
      <c r="G33" s="6" t="str">
        <f xml:space="preserve"> IF( OR(RIGHT(KeyTable[[#This Row],[StyleName]], 4) = "Date", RIGHT(KeyTable[[#This Row],[StyleName]], 3) = "Val"), "OCRB", "Bahnschrift")</f>
        <v>Bahnschrift</v>
      </c>
      <c r="H33" s="7" t="s">
        <v>151</v>
      </c>
      <c r="I33" s="1" t="s">
        <v>151</v>
      </c>
      <c r="J33" s="1"/>
      <c r="K33" s="7"/>
      <c r="L33" s="8"/>
      <c r="M33" s="9"/>
      <c r="N33" s="10" t="str" cm="1">
        <f t="array" ref="N3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A4D25</v>
      </c>
      <c r="O33" s="11" t="str" cm="1">
        <f t="array" ref="O3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P33" s="14" t="str" cm="1">
        <f t="array" ref="P3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4" spans="1:16" x14ac:dyDescent="0.2">
      <c r="A34" s="72" t="s">
        <v>154</v>
      </c>
      <c r="B34" s="72" t="s">
        <v>155</v>
      </c>
      <c r="C34" t="s">
        <v>156</v>
      </c>
      <c r="D34" t="s">
        <v>45</v>
      </c>
      <c r="E34" s="37" t="s">
        <v>157</v>
      </c>
      <c r="G34" s="6" t="str">
        <f xml:space="preserve"> IF( OR(RIGHT(KeyTable[[#This Row],[StyleName]], 4) = "Date", RIGHT(KeyTable[[#This Row],[StyleName]], 3) = "Val"), "OCRB", "Bahnschrift")</f>
        <v>Bahnschrift</v>
      </c>
      <c r="H34" s="66" t="s">
        <v>53</v>
      </c>
      <c r="I34" s="1" t="s">
        <v>151</v>
      </c>
      <c r="J34" s="1"/>
      <c r="K34" s="7"/>
      <c r="L34" s="8"/>
      <c r="M34" s="9"/>
      <c r="N34" s="10" t="str" cm="1">
        <f t="array" ref="N3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A4L40</v>
      </c>
      <c r="O34" s="11" t="str" cm="1">
        <f t="array" ref="O3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34" s="14" t="str" cm="1">
        <f t="array" ref="P3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5" spans="1:16" x14ac:dyDescent="0.2">
      <c r="A35" s="73" t="s">
        <v>158</v>
      </c>
      <c r="B35" s="73" t="s">
        <v>159</v>
      </c>
      <c r="C35" t="s">
        <v>156</v>
      </c>
      <c r="D35" t="s">
        <v>45</v>
      </c>
      <c r="E35" t="s">
        <v>160</v>
      </c>
      <c r="F35" t="s">
        <v>122</v>
      </c>
      <c r="G35" s="6" t="str">
        <f xml:space="preserve"> IF( OR(RIGHT(KeyTable[[#This Row],[StyleName]], 4) = "Date", RIGHT(KeyTable[[#This Row],[StyleName]], 3) = "Val"), "OCRB", "Bahnschrift")</f>
        <v>OCRB</v>
      </c>
      <c r="H35" s="66" t="s">
        <v>53</v>
      </c>
      <c r="I35" s="1" t="s">
        <v>151</v>
      </c>
      <c r="J35" s="1"/>
      <c r="K35" s="7" t="s">
        <v>103</v>
      </c>
      <c r="L35" s="8"/>
      <c r="M35" s="9"/>
      <c r="N35" s="10" t="str" cm="1">
        <f t="array" ref="N3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O35" s="11" t="str" cm="1">
        <f t="array" ref="O3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35" s="14" t="str" cm="1">
        <f t="array" ref="P3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6" spans="1:16" x14ac:dyDescent="0.2">
      <c r="A36" s="74" t="s">
        <v>161</v>
      </c>
      <c r="B36" s="75" t="s">
        <v>162</v>
      </c>
      <c r="C36" t="s">
        <v>156</v>
      </c>
      <c r="D36" t="s">
        <v>45</v>
      </c>
      <c r="E36" t="s">
        <v>160</v>
      </c>
      <c r="G36" s="6" t="str">
        <f xml:space="preserve"> IF( OR(RIGHT(KeyTable[[#This Row],[StyleName]], 4) = "Date", RIGHT(KeyTable[[#This Row],[StyleName]], 3) = "Val"), "OCRB", "Bahnschrift")</f>
        <v>OCRB</v>
      </c>
      <c r="H36" s="66" t="s">
        <v>53</v>
      </c>
      <c r="I36" s="1" t="s">
        <v>151</v>
      </c>
      <c r="J36" s="1"/>
      <c r="K36" s="7" t="s">
        <v>103</v>
      </c>
      <c r="L36" s="8"/>
      <c r="M36" s="9"/>
      <c r="N36" s="10" t="str" cm="1">
        <f t="array" ref="N3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O36" s="11" t="str" cm="1">
        <f t="array" ref="O3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36" s="14" t="str" cm="1">
        <f t="array" ref="P3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7" spans="1:16" x14ac:dyDescent="0.2">
      <c r="A37" s="76" t="s">
        <v>163</v>
      </c>
      <c r="B37" s="77" t="s">
        <v>164</v>
      </c>
      <c r="C37" t="s">
        <v>156</v>
      </c>
      <c r="D37" t="s">
        <v>45</v>
      </c>
      <c r="E37" s="37" t="s">
        <v>157</v>
      </c>
      <c r="G37" s="6" t="str">
        <f xml:space="preserve"> IF( OR(RIGHT(KeyTable[[#This Row],[StyleName]], 4) = "Date", RIGHT(KeyTable[[#This Row],[StyleName]], 3) = "Val"), "OCRB", "Bahnschrift")</f>
        <v>Bahnschrift</v>
      </c>
      <c r="H37" s="66" t="s">
        <v>53</v>
      </c>
      <c r="I37" s="1" t="s">
        <v>151</v>
      </c>
      <c r="J37" s="1"/>
      <c r="K37" s="7" t="s">
        <v>106</v>
      </c>
      <c r="L37" s="8"/>
      <c r="M37" s="9"/>
      <c r="N37" s="10" t="str" cm="1">
        <f t="array" ref="N3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A4L80</v>
      </c>
      <c r="O37" s="11" t="str" cm="1">
        <f t="array" ref="O3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37" s="14" t="str" cm="1">
        <f t="array" ref="P3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8" spans="1:16" ht="15" thickBot="1" x14ac:dyDescent="0.25">
      <c r="A38" s="78" t="s">
        <v>165</v>
      </c>
      <c r="B38" s="78" t="s">
        <v>166</v>
      </c>
      <c r="C38" s="17" t="s">
        <v>156</v>
      </c>
      <c r="D38" s="17" t="s">
        <v>45</v>
      </c>
      <c r="E38" s="17" t="s">
        <v>157</v>
      </c>
      <c r="F38" s="17" t="s">
        <v>82</v>
      </c>
      <c r="G38" s="18" t="str">
        <f xml:space="preserve"> IF( OR(RIGHT(KeyTable[[#This Row],[StyleName]], 4) = "Date", RIGHT(KeyTable[[#This Row],[StyleName]], 3) = "Val"), "OCRB", "Bahnschrift")</f>
        <v>Bahnschrift</v>
      </c>
      <c r="H38" s="19" t="s">
        <v>151</v>
      </c>
      <c r="I38" s="20" t="s">
        <v>151</v>
      </c>
      <c r="J38" s="20" t="s">
        <v>151</v>
      </c>
      <c r="K38" s="19"/>
      <c r="L38" s="20"/>
      <c r="M38" s="21"/>
      <c r="N38" s="22" t="str" cm="1">
        <f t="array" ref="N3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</v>
      </c>
      <c r="O38" s="23" t="str" cm="1">
        <f t="array" ref="O3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A4D50</v>
      </c>
      <c r="P38" s="24" t="str" cm="1">
        <f t="array" ref="P3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A4L80</v>
      </c>
    </row>
    <row r="39" spans="1:16" x14ac:dyDescent="0.2">
      <c r="A39" s="79" t="s">
        <v>167</v>
      </c>
      <c r="B39" s="79" t="s">
        <v>168</v>
      </c>
      <c r="C39" t="s">
        <v>44</v>
      </c>
      <c r="D39" t="s">
        <v>45</v>
      </c>
      <c r="E39" t="s">
        <v>86</v>
      </c>
      <c r="F39" t="s">
        <v>47</v>
      </c>
      <c r="G39" s="26" t="str">
        <f xml:space="preserve"> IF( OR(RIGHT(KeyTable[[#This Row],[StyleName]], 4) = "Date", RIGHT(KeyTable[[#This Row],[StyleName]], 3) = "Val"), "OCRB", "Bahnschrift")</f>
        <v>Bahnschrift</v>
      </c>
      <c r="H39" s="7" t="s">
        <v>169</v>
      </c>
      <c r="I39" s="1" t="s">
        <v>169</v>
      </c>
      <c r="J39" s="1"/>
      <c r="K39" s="27"/>
      <c r="L39" s="28"/>
      <c r="M39" s="29"/>
      <c r="N39" s="30" t="str" cm="1">
        <f t="array" ref="N3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A5D50</v>
      </c>
      <c r="O39" s="31" t="str" cm="1">
        <f t="array" ref="O3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P39" s="32" t="str" cm="1">
        <f t="array" ref="P3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0" spans="1:16" x14ac:dyDescent="0.2">
      <c r="A40" s="80" t="s">
        <v>170</v>
      </c>
      <c r="B40" s="80" t="s">
        <v>171</v>
      </c>
      <c r="C40" t="s">
        <v>44</v>
      </c>
      <c r="D40" t="s">
        <v>45</v>
      </c>
      <c r="E40" t="s">
        <v>86</v>
      </c>
      <c r="F40" t="s">
        <v>47</v>
      </c>
      <c r="G40" s="6" t="str">
        <f xml:space="preserve"> IF( OR(RIGHT(KeyTable[[#This Row],[StyleName]], 4) = "Date", RIGHT(KeyTable[[#This Row],[StyleName]], 3) = "Val"), "OCRB", "Bahnschrift")</f>
        <v>Bahnschrift</v>
      </c>
      <c r="H40" s="7" t="s">
        <v>169</v>
      </c>
      <c r="I40" s="1" t="s">
        <v>169</v>
      </c>
      <c r="J40" s="1"/>
      <c r="K40" s="7"/>
      <c r="L40" s="8"/>
      <c r="M40" s="9"/>
      <c r="N40" s="10" t="str" cm="1">
        <f t="array" ref="N4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A5D25</v>
      </c>
      <c r="O40" s="11" t="str" cm="1">
        <f t="array" ref="O4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P40" s="14" t="str" cm="1">
        <f t="array" ref="P4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1" spans="1:16" x14ac:dyDescent="0.2">
      <c r="A41" s="81" t="s">
        <v>172</v>
      </c>
      <c r="B41" s="81" t="s">
        <v>173</v>
      </c>
      <c r="C41" t="s">
        <v>58</v>
      </c>
      <c r="D41" t="s">
        <v>45</v>
      </c>
      <c r="E41" t="s">
        <v>174</v>
      </c>
      <c r="G41" s="6" t="str">
        <f xml:space="preserve"> IF( OR(RIGHT(KeyTable[[#This Row],[StyleName]], 4) = "Date", RIGHT(KeyTable[[#This Row],[StyleName]], 3) = "Val"), "OCRB", "Bahnschrift")</f>
        <v>Bahnschrift</v>
      </c>
      <c r="H41" s="66" t="s">
        <v>53</v>
      </c>
      <c r="I41" s="1" t="s">
        <v>169</v>
      </c>
      <c r="J41" s="1"/>
      <c r="K41" s="7"/>
      <c r="L41" s="8"/>
      <c r="M41" s="9"/>
      <c r="N41" s="10" t="str" cm="1">
        <f t="array" ref="N4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O41" s="11" t="str" cm="1">
        <f t="array" ref="O4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1" s="14" t="str" cm="1">
        <f t="array" ref="P4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2" spans="1:16" x14ac:dyDescent="0.2">
      <c r="A42" s="82" t="s">
        <v>175</v>
      </c>
      <c r="B42" s="82" t="s">
        <v>176</v>
      </c>
      <c r="C42" t="s">
        <v>58</v>
      </c>
      <c r="D42" t="s">
        <v>45</v>
      </c>
      <c r="E42" t="s">
        <v>174</v>
      </c>
      <c r="G42" s="6" t="str">
        <f xml:space="preserve"> IF( OR(RIGHT(KeyTable[[#This Row],[StyleName]], 4) = "Date", RIGHT(KeyTable[[#This Row],[StyleName]], 3) = "Val"), "OCRB", "Bahnschrift")</f>
        <v>OCRB</v>
      </c>
      <c r="H42" s="66" t="s">
        <v>53</v>
      </c>
      <c r="I42" s="1" t="s">
        <v>169</v>
      </c>
      <c r="J42" s="1"/>
      <c r="K42" s="7" t="s">
        <v>103</v>
      </c>
      <c r="L42" s="8"/>
      <c r="M42" s="9"/>
      <c r="N42" s="10" t="str" cm="1">
        <f t="array" ref="N4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A5L60</v>
      </c>
      <c r="O42" s="11" t="str" cm="1">
        <f t="array" ref="O4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2" s="14" t="str" cm="1">
        <f t="array" ref="P4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3" spans="1:16" x14ac:dyDescent="0.2">
      <c r="A43" s="83" t="s">
        <v>177</v>
      </c>
      <c r="B43" s="83" t="s">
        <v>178</v>
      </c>
      <c r="C43" t="s">
        <v>58</v>
      </c>
      <c r="D43" t="s">
        <v>45</v>
      </c>
      <c r="E43" t="s">
        <v>174</v>
      </c>
      <c r="G43" s="6" t="str">
        <f xml:space="preserve"> IF( OR(RIGHT(KeyTable[[#This Row],[StyleName]], 4) = "Date", RIGHT(KeyTable[[#This Row],[StyleName]], 3) = "Val"), "OCRB", "Bahnschrift")</f>
        <v>Bahnschrift</v>
      </c>
      <c r="H43" s="66" t="s">
        <v>53</v>
      </c>
      <c r="I43" s="1" t="s">
        <v>169</v>
      </c>
      <c r="J43" s="1"/>
      <c r="K43" s="7" t="s">
        <v>106</v>
      </c>
      <c r="L43" s="8"/>
      <c r="M43" s="9"/>
      <c r="N43" s="10" t="str" cm="1">
        <f t="array" ref="N4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A5L80</v>
      </c>
      <c r="O43" s="11" t="str" cm="1">
        <f t="array" ref="O4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3" s="14" t="str" cm="1">
        <f t="array" ref="P4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4" spans="1:16" ht="15" thickBot="1" x14ac:dyDescent="0.25">
      <c r="A44" s="84" t="s">
        <v>179</v>
      </c>
      <c r="B44" s="84" t="s">
        <v>180</v>
      </c>
      <c r="C44" s="17" t="s">
        <v>58</v>
      </c>
      <c r="D44" s="17" t="s">
        <v>45</v>
      </c>
      <c r="E44" s="17" t="s">
        <v>174</v>
      </c>
      <c r="F44" s="17" t="s">
        <v>82</v>
      </c>
      <c r="G44" s="18" t="str">
        <f xml:space="preserve"> IF( OR(RIGHT(KeyTable[[#This Row],[StyleName]], 4) = "Date", RIGHT(KeyTable[[#This Row],[StyleName]], 3) = "Val"), "OCRB", "Bahnschrift")</f>
        <v>Bahnschrift</v>
      </c>
      <c r="H44" s="19" t="s">
        <v>169</v>
      </c>
      <c r="I44" s="20" t="s">
        <v>169</v>
      </c>
      <c r="J44" s="20" t="s">
        <v>169</v>
      </c>
      <c r="K44" s="19" t="s">
        <v>181</v>
      </c>
      <c r="L44" s="20"/>
      <c r="M44" s="21"/>
      <c r="N44" s="22" t="str" cm="1">
        <f t="array" ref="N4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O44" s="23" t="str" cm="1">
        <f t="array" ref="O4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A5D50</v>
      </c>
      <c r="P44" s="24" t="str" cm="1">
        <f t="array" ref="P4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A5L80</v>
      </c>
    </row>
    <row r="45" spans="1:16" x14ac:dyDescent="0.2">
      <c r="A45" s="85" t="s">
        <v>182</v>
      </c>
      <c r="B45" s="85" t="s">
        <v>183</v>
      </c>
      <c r="C45" t="s">
        <v>44</v>
      </c>
      <c r="D45" t="s">
        <v>45</v>
      </c>
      <c r="E45" t="s">
        <v>184</v>
      </c>
      <c r="F45" t="s">
        <v>47</v>
      </c>
      <c r="G45" s="26" t="str">
        <f xml:space="preserve"> IF( OR(RIGHT(KeyTable[[#This Row],[StyleName]], 4) = "Date", RIGHT(KeyTable[[#This Row],[StyleName]], 3) = "Val"), "OCRB", "Bahnschrift")</f>
        <v>Bahnschrift</v>
      </c>
      <c r="H45" s="7" t="s">
        <v>185</v>
      </c>
      <c r="I45" s="1" t="s">
        <v>185</v>
      </c>
      <c r="J45" s="1"/>
      <c r="K45" s="27"/>
      <c r="L45" s="28"/>
      <c r="M45" s="29"/>
      <c r="N45" s="30" t="str" cm="1">
        <f t="array" ref="N4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A6D50</v>
      </c>
      <c r="O45" s="31" t="str" cm="1">
        <f t="array" ref="O4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P45" s="32" t="str" cm="1">
        <f t="array" ref="P4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6" spans="1:16" x14ac:dyDescent="0.2">
      <c r="A46" s="86" t="s">
        <v>186</v>
      </c>
      <c r="B46" s="86" t="s">
        <v>187</v>
      </c>
      <c r="C46" t="s">
        <v>44</v>
      </c>
      <c r="D46" t="s">
        <v>45</v>
      </c>
      <c r="E46" t="s">
        <v>184</v>
      </c>
      <c r="F46" t="s">
        <v>47</v>
      </c>
      <c r="G46" s="6" t="str">
        <f xml:space="preserve"> IF( OR(RIGHT(KeyTable[[#This Row],[StyleName]], 4) = "Date", RIGHT(KeyTable[[#This Row],[StyleName]], 3) = "Val"), "OCRB", "Bahnschrift")</f>
        <v>Bahnschrift</v>
      </c>
      <c r="H46" s="7" t="s">
        <v>185</v>
      </c>
      <c r="I46" s="1" t="s">
        <v>185</v>
      </c>
      <c r="J46" s="1"/>
      <c r="K46" s="7"/>
      <c r="L46" s="8"/>
      <c r="M46" s="9"/>
      <c r="N46" s="10" t="str" cm="1">
        <f t="array" ref="N4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A6D25</v>
      </c>
      <c r="O46" s="11" t="str" cm="1">
        <f t="array" ref="O4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P46" s="14" t="str" cm="1">
        <f t="array" ref="P4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7" spans="1:16" x14ac:dyDescent="0.2">
      <c r="A47" s="87" t="s">
        <v>188</v>
      </c>
      <c r="B47" s="87" t="s">
        <v>189</v>
      </c>
      <c r="C47" t="s">
        <v>147</v>
      </c>
      <c r="D47" t="s">
        <v>45</v>
      </c>
      <c r="E47" t="s">
        <v>184</v>
      </c>
      <c r="G47" s="6" t="str">
        <f xml:space="preserve"> IF( OR(RIGHT(KeyTable[[#This Row],[StyleName]], 4) = "Date", RIGHT(KeyTable[[#This Row],[StyleName]], 3) = "Val"), "OCRB", "Bahnschrift")</f>
        <v>Bahnschrift</v>
      </c>
      <c r="H47" s="66" t="s">
        <v>53</v>
      </c>
      <c r="I47" s="1" t="s">
        <v>185</v>
      </c>
      <c r="J47" s="1"/>
      <c r="K47" s="7"/>
      <c r="L47" s="8"/>
      <c r="M47" s="9"/>
      <c r="N47" s="10" t="str" cm="1">
        <f t="array" ref="N4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A6L40</v>
      </c>
      <c r="O47" s="11" t="str" cm="1">
        <f t="array" ref="O4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7" s="14" t="str" cm="1">
        <f t="array" ref="P4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8" spans="1:16" x14ac:dyDescent="0.2">
      <c r="A48" s="88" t="s">
        <v>190</v>
      </c>
      <c r="B48" s="88" t="s">
        <v>191</v>
      </c>
      <c r="C48" t="s">
        <v>147</v>
      </c>
      <c r="D48" t="s">
        <v>45</v>
      </c>
      <c r="E48" t="s">
        <v>184</v>
      </c>
      <c r="G48" s="6" t="str">
        <f xml:space="preserve"> IF( OR(RIGHT(KeyTable[[#This Row],[StyleName]], 4) = "Date", RIGHT(KeyTable[[#This Row],[StyleName]], 3) = "Val"), "OCRB", "Bahnschrift")</f>
        <v>OCRB</v>
      </c>
      <c r="H48" s="66" t="s">
        <v>53</v>
      </c>
      <c r="I48" s="1" t="s">
        <v>185</v>
      </c>
      <c r="J48" s="1"/>
      <c r="K48" s="7" t="s">
        <v>103</v>
      </c>
      <c r="L48" s="8"/>
      <c r="M48" s="9"/>
      <c r="N48" s="10" t="str" cm="1">
        <f t="array" ref="N4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O48" s="11" t="str" cm="1">
        <f t="array" ref="O4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8" s="14" t="str" cm="1">
        <f t="array" ref="P4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9" spans="1:16" x14ac:dyDescent="0.2">
      <c r="A49" s="89" t="s">
        <v>192</v>
      </c>
      <c r="B49" s="89" t="s">
        <v>193</v>
      </c>
      <c r="C49" t="s">
        <v>147</v>
      </c>
      <c r="D49" t="s">
        <v>45</v>
      </c>
      <c r="E49" t="s">
        <v>184</v>
      </c>
      <c r="G49" s="6" t="str">
        <f xml:space="preserve"> IF( OR(RIGHT(KeyTable[[#This Row],[StyleName]], 4) = "Date", RIGHT(KeyTable[[#This Row],[StyleName]], 3) = "Val"), "OCRB", "Bahnschrift")</f>
        <v>Bahnschrift</v>
      </c>
      <c r="H49" s="66" t="s">
        <v>53</v>
      </c>
      <c r="I49" s="1" t="s">
        <v>185</v>
      </c>
      <c r="J49" s="1"/>
      <c r="K49" s="7" t="s">
        <v>106</v>
      </c>
      <c r="L49" s="8"/>
      <c r="M49" s="9"/>
      <c r="N49" s="10" t="str" cm="1">
        <f t="array" ref="N4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A6L80</v>
      </c>
      <c r="O49" s="11" t="str" cm="1">
        <f t="array" ref="O4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9" s="14" t="str" cm="1">
        <f t="array" ref="P4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0" spans="1:16" x14ac:dyDescent="0.2">
      <c r="A50" s="90" t="s">
        <v>194</v>
      </c>
      <c r="B50" s="90" t="s">
        <v>195</v>
      </c>
      <c r="C50" t="s">
        <v>196</v>
      </c>
      <c r="D50" t="s">
        <v>45</v>
      </c>
      <c r="E50" t="s">
        <v>184</v>
      </c>
      <c r="F50" t="s">
        <v>197</v>
      </c>
      <c r="G50" s="6" t="str">
        <f xml:space="preserve"> IF( OR(RIGHT(KeyTable[[#This Row],[StyleName]], 4) = "Date", RIGHT(KeyTable[[#This Row],[StyleName]], 3) = "Val"), "OCRB", "Bahnschrift")</f>
        <v>Bahnschrift</v>
      </c>
      <c r="H50" s="7" t="s">
        <v>185</v>
      </c>
      <c r="I50" s="1" t="s">
        <v>185</v>
      </c>
      <c r="J50" s="1" t="s">
        <v>185</v>
      </c>
      <c r="K50" s="43" t="s">
        <v>103</v>
      </c>
      <c r="L50" s="44"/>
      <c r="M50" s="91"/>
      <c r="N50" s="10" t="str" cm="1">
        <f t="array" ref="N5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O50" s="11" t="str" cm="1">
        <f t="array" ref="O5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A6D50</v>
      </c>
      <c r="P50" s="14" t="str" cm="1">
        <f t="array" ref="P5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A6L80</v>
      </c>
    </row>
    <row r="51" spans="1:16" x14ac:dyDescent="0.2">
      <c r="I51" s="1"/>
      <c r="J51" s="1"/>
      <c r="K51" s="1"/>
      <c r="L51" s="1"/>
      <c r="M51" s="1"/>
    </row>
    <row r="52" spans="1:16" ht="19.5" x14ac:dyDescent="0.2">
      <c r="B52" s="112" t="s">
        <v>198</v>
      </c>
      <c r="C52" s="112"/>
      <c r="D52" s="112"/>
      <c r="E52" s="112"/>
      <c r="I52" s="1"/>
      <c r="J52" s="1"/>
      <c r="K52" s="1"/>
      <c r="L52" s="1"/>
      <c r="M52" s="1"/>
    </row>
    <row r="53" spans="1:16" x14ac:dyDescent="0.2">
      <c r="B53" s="92" t="s">
        <v>199</v>
      </c>
      <c r="C53" s="93" t="s">
        <v>200</v>
      </c>
      <c r="D53" s="94" t="s">
        <v>201</v>
      </c>
      <c r="E53" s="95" t="s">
        <v>202</v>
      </c>
      <c r="I53" s="1"/>
      <c r="J53" s="1"/>
      <c r="K53" s="1"/>
      <c r="L53" s="1"/>
      <c r="M53" s="1"/>
    </row>
    <row r="54" spans="1:16" x14ac:dyDescent="0.2">
      <c r="B54" s="96" t="s">
        <v>203</v>
      </c>
      <c r="C54" s="97" t="s">
        <v>204</v>
      </c>
      <c r="D54" s="98" t="s">
        <v>205</v>
      </c>
      <c r="E54" s="99" t="s">
        <v>206</v>
      </c>
      <c r="I54" s="1"/>
      <c r="J54" s="1"/>
      <c r="K54" s="1"/>
      <c r="L54" s="1"/>
      <c r="M54" s="1"/>
    </row>
    <row r="55" spans="1:16" x14ac:dyDescent="0.2">
      <c r="B55" s="96" t="s">
        <v>207</v>
      </c>
      <c r="C55" s="100" t="s">
        <v>208</v>
      </c>
      <c r="D55" s="101" t="s">
        <v>209</v>
      </c>
      <c r="E55" s="102" t="s">
        <v>210</v>
      </c>
      <c r="I55" s="1"/>
      <c r="J55" s="1"/>
      <c r="K55" s="1"/>
      <c r="L55" s="1"/>
      <c r="M55" s="1"/>
    </row>
    <row r="56" spans="1:16" x14ac:dyDescent="0.2">
      <c r="B56" s="103" t="s">
        <v>211</v>
      </c>
      <c r="C56" s="104" t="s">
        <v>211</v>
      </c>
      <c r="D56" s="105" t="s">
        <v>211</v>
      </c>
      <c r="E56" s="106" t="s">
        <v>212</v>
      </c>
      <c r="I56" s="1"/>
      <c r="J56" s="1"/>
      <c r="K56" s="1"/>
      <c r="L56" s="1"/>
      <c r="M56" s="1"/>
    </row>
    <row r="57" spans="1:16" x14ac:dyDescent="0.2">
      <c r="I57" s="1"/>
      <c r="J57" s="1"/>
      <c r="K57" s="1"/>
      <c r="L57" s="1"/>
      <c r="M57" s="1"/>
    </row>
    <row r="58" spans="1:16" ht="19.5" x14ac:dyDescent="0.2">
      <c r="B58" s="109" t="s">
        <v>213</v>
      </c>
      <c r="C58" s="110"/>
      <c r="D58" s="111"/>
      <c r="I58" s="1"/>
      <c r="J58" s="1"/>
      <c r="K58" s="1"/>
      <c r="L58" s="1"/>
      <c r="M58" s="1"/>
    </row>
    <row r="59" spans="1:16" x14ac:dyDescent="0.2">
      <c r="B59" t="s">
        <v>214</v>
      </c>
      <c r="C59" t="s">
        <v>215</v>
      </c>
      <c r="D59" s="13" t="s">
        <v>216</v>
      </c>
      <c r="I59" s="1"/>
      <c r="J59" s="1"/>
      <c r="K59" s="1"/>
      <c r="L59" s="1"/>
      <c r="M59" s="1"/>
    </row>
    <row r="60" spans="1:16" x14ac:dyDescent="0.2">
      <c r="B60" t="s">
        <v>217</v>
      </c>
      <c r="C60" t="s">
        <v>218</v>
      </c>
      <c r="D60" s="6" t="str">
        <f>RIGHT(LookupSampleTable[[#This Row],[LookupColumn2]],5)</f>
        <v>Value</v>
      </c>
      <c r="I60" s="1"/>
      <c r="J60" s="1"/>
      <c r="K60" s="1"/>
      <c r="L60" s="1"/>
      <c r="M60" s="1"/>
    </row>
    <row r="61" spans="1:16" x14ac:dyDescent="0.2">
      <c r="B61" t="s">
        <v>219</v>
      </c>
      <c r="D61" s="6" t="str">
        <f>RIGHT(LookupSampleTable[[#This Row],[LookupColumn2]],5)</f>
        <v/>
      </c>
      <c r="I61" s="1"/>
      <c r="J61" s="1"/>
      <c r="K61" s="1"/>
      <c r="L61" s="1"/>
      <c r="M61" s="1"/>
    </row>
    <row r="62" spans="1:16" x14ac:dyDescent="0.2">
      <c r="B62" t="s">
        <v>220</v>
      </c>
      <c r="D62" s="107" t="str">
        <f>COUNTIF(LookupSampleTable[CalcColumn],"Value") &amp; " Value"</f>
        <v>1 Value</v>
      </c>
      <c r="I62" s="1"/>
      <c r="J62" s="1"/>
      <c r="K62" s="1"/>
      <c r="L62" s="1"/>
      <c r="M62" s="1"/>
    </row>
    <row r="63" spans="1:16" x14ac:dyDescent="0.2">
      <c r="I63" s="1"/>
      <c r="J63" s="1"/>
      <c r="K63" s="1"/>
      <c r="L63" s="1"/>
      <c r="M63" s="1"/>
    </row>
    <row r="64" spans="1:16" ht="19.5" x14ac:dyDescent="0.2">
      <c r="B64" s="109" t="s">
        <v>221</v>
      </c>
      <c r="C64" s="110"/>
      <c r="D64" s="111"/>
      <c r="I64" s="1"/>
      <c r="J64" s="1"/>
      <c r="K64" s="1"/>
      <c r="L64" s="1"/>
      <c r="M64" s="1"/>
    </row>
    <row r="65" spans="2:13" x14ac:dyDescent="0.2">
      <c r="B65" t="s">
        <v>222</v>
      </c>
      <c r="C65" t="s">
        <v>223</v>
      </c>
      <c r="D65" s="13" t="s">
        <v>224</v>
      </c>
      <c r="I65" s="1"/>
      <c r="J65" s="1"/>
      <c r="K65" s="1"/>
      <c r="L65" s="1"/>
      <c r="M65" s="1"/>
    </row>
    <row r="66" spans="2:13" x14ac:dyDescent="0.2">
      <c r="B66" t="s">
        <v>225</v>
      </c>
      <c r="D66" s="108">
        <f t="shared" ref="D66:D67" si="0">1 /  VALUE(LEFT($C$68,1))</f>
        <v>0.5</v>
      </c>
      <c r="I66" s="1"/>
      <c r="J66" s="1"/>
      <c r="K66" s="1"/>
      <c r="L66" s="1"/>
      <c r="M66" s="1"/>
    </row>
    <row r="67" spans="2:13" x14ac:dyDescent="0.2">
      <c r="B67" t="s">
        <v>226</v>
      </c>
      <c r="D67" s="108">
        <f t="shared" si="0"/>
        <v>0.5</v>
      </c>
      <c r="I67" s="1"/>
      <c r="J67" s="1"/>
      <c r="K67" s="1"/>
      <c r="L67" s="1"/>
      <c r="M67" s="1"/>
    </row>
    <row r="68" spans="2:13" x14ac:dyDescent="0.2">
      <c r="B68" t="s">
        <v>220</v>
      </c>
      <c r="C68" t="str">
        <f>COUNTIF(IntSampleTable[Internal2],"")    &amp;     " Blank Cells"</f>
        <v>2 Blank Cells</v>
      </c>
      <c r="D68" s="13" t="str">
        <f>"Total: "&amp; SUBTOTAL(109,IntSampleTable[CalcColumn3])*100 &amp;"%"</f>
        <v>Total: 100%</v>
      </c>
    </row>
    <row r="70" spans="2:13" ht="19.5" x14ac:dyDescent="0.2">
      <c r="B70" s="109" t="s">
        <v>227</v>
      </c>
      <c r="C70" s="110"/>
      <c r="D70" s="111"/>
    </row>
    <row r="71" spans="2:13" x14ac:dyDescent="0.2">
      <c r="B71" t="s">
        <v>228</v>
      </c>
      <c r="C71" t="s">
        <v>229</v>
      </c>
      <c r="D71" s="13" t="s">
        <v>224</v>
      </c>
    </row>
    <row r="72" spans="2:13" x14ac:dyDescent="0.2">
      <c r="B72" t="s">
        <v>230</v>
      </c>
      <c r="C72" t="s">
        <v>231</v>
      </c>
      <c r="D72" s="6" t="b">
        <f>QuerySampleTable[[#This Row],[QueryColumn2]]  = "Query Value"</f>
        <v>1</v>
      </c>
    </row>
    <row r="73" spans="2:13" x14ac:dyDescent="0.2">
      <c r="B73" t="s">
        <v>232</v>
      </c>
      <c r="C73" t="s">
        <v>233</v>
      </c>
      <c r="D73" s="6" t="b">
        <f>QuerySampleTable[[#This Row],[QueryColumn2]]  = "Query Value"</f>
        <v>0</v>
      </c>
    </row>
    <row r="74" spans="2:13" x14ac:dyDescent="0.2">
      <c r="B74" t="s">
        <v>220</v>
      </c>
      <c r="C74" t="str">
        <f>COUNTIF(QuerySampleTable[QueryColumn2],"* Error")&amp;" Error in Col"</f>
        <v>1 Error in Col</v>
      </c>
      <c r="D74" s="13" t="str">
        <f>IF(_xlfn.XMATCH(FALSE, QuerySampleTable[CalcColumn3],0,1) &gt; 0,  "&gt;0  Falses in Column", "Column Good")</f>
        <v>&gt;0  Falses in Column</v>
      </c>
    </row>
    <row r="76" spans="2:13" ht="19.5" x14ac:dyDescent="0.2">
      <c r="B76" s="109" t="s">
        <v>234</v>
      </c>
      <c r="C76" s="110"/>
      <c r="D76" s="111"/>
    </row>
    <row r="77" spans="2:13" x14ac:dyDescent="0.2">
      <c r="B77" t="s">
        <v>37</v>
      </c>
      <c r="C77" t="s">
        <v>38</v>
      </c>
      <c r="D77" t="s">
        <v>39</v>
      </c>
    </row>
  </sheetData>
  <mergeCells count="7">
    <mergeCell ref="B76:D76"/>
    <mergeCell ref="A1:P1"/>
    <mergeCell ref="R1:U1"/>
    <mergeCell ref="B52:E52"/>
    <mergeCell ref="B58:D58"/>
    <mergeCell ref="B64:D64"/>
    <mergeCell ref="B70:D70"/>
  </mergeCells>
  <conditionalFormatting sqref="S3:S9 S11:S21">
    <cfRule type="expression" dxfId="68" priority="4">
      <formula>S3="BadValue"</formula>
    </cfRule>
  </conditionalFormatting>
  <conditionalFormatting sqref="U3:U21">
    <cfRule type="expression" dxfId="67" priority="3">
      <formula>$S3="BadValue"</formula>
    </cfRule>
  </conditionalFormatting>
  <conditionalFormatting sqref="R3:R21">
    <cfRule type="expression" dxfId="66" priority="2">
      <formula>ISBLANK(R3)</formula>
    </cfRule>
  </conditionalFormatting>
  <conditionalFormatting sqref="T3:T21">
    <cfRule type="expression" dxfId="65" priority="5">
      <formula>NOT($W$3)</formula>
    </cfRule>
  </conditionalFormatting>
  <conditionalFormatting sqref="T2">
    <cfRule type="expression" dxfId="64" priority="6">
      <formula>NOT($W$3)</formula>
    </cfRule>
  </conditionalFormatting>
  <conditionalFormatting sqref="C72:C73">
    <cfRule type="expression" dxfId="63" priority="1">
      <formula>C72="Query Error"</formula>
    </cfRule>
  </conditionalFormatting>
  <dataValidations count="1">
    <dataValidation type="list" allowBlank="1" showInputMessage="1" showErrorMessage="1" sqref="R3:R21 W3" xr:uid="{D6B96661-B6E9-4670-9C1F-78753CE209B3}">
      <formula1>BoolName</formula1>
    </dataValidation>
  </dataValidations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68130-5567-4C58-8970-BD4C03F76E8E}">
  <sheetPr codeName="ListSheet">
    <tabColor theme="6" tint="-0.249977111117893"/>
  </sheetPr>
  <dimension ref="A1:P7"/>
  <sheetViews>
    <sheetView workbookViewId="0">
      <selection activeCell="S9" sqref="S9"/>
    </sheetView>
  </sheetViews>
  <sheetFormatPr defaultRowHeight="14.25" x14ac:dyDescent="0.2"/>
  <cols>
    <col min="1" max="1" width="6" bestFit="1" customWidth="1"/>
    <col min="2" max="2" width="3.6640625" bestFit="1" customWidth="1"/>
    <col min="3" max="3" width="8.77734375" customWidth="1"/>
    <col min="4" max="4" width="5" bestFit="1" customWidth="1"/>
    <col min="5" max="5" width="6" bestFit="1" customWidth="1"/>
    <col min="6" max="6" width="3.6640625" bestFit="1" customWidth="1"/>
    <col min="7" max="7" width="3.109375" bestFit="1" customWidth="1"/>
    <col min="8" max="8" width="8.77734375" customWidth="1"/>
    <col min="9" max="9" width="7.33203125" bestFit="1" customWidth="1"/>
    <col min="10" max="10" width="7.21875" bestFit="1" customWidth="1"/>
    <col min="11" max="11" width="4.6640625" bestFit="1" customWidth="1"/>
    <col min="12" max="12" width="8" bestFit="1" customWidth="1"/>
    <col min="13" max="13" width="7.6640625" bestFit="1" customWidth="1"/>
    <col min="14" max="14" width="8" bestFit="1" customWidth="1"/>
    <col min="15" max="16" width="8.77734375" customWidth="1"/>
  </cols>
  <sheetData>
    <row r="1" spans="1:16" ht="19.5" x14ac:dyDescent="0.2">
      <c r="A1" s="109" t="s">
        <v>0</v>
      </c>
      <c r="B1" s="110"/>
      <c r="C1" s="110"/>
      <c r="D1" s="110"/>
      <c r="E1" s="110"/>
      <c r="F1" s="110"/>
      <c r="G1" s="111"/>
      <c r="I1" s="113" t="s">
        <v>1</v>
      </c>
      <c r="J1" s="114"/>
      <c r="K1" s="114"/>
      <c r="L1" s="114"/>
      <c r="M1" s="114"/>
      <c r="N1" s="115"/>
      <c r="O1" s="116"/>
      <c r="P1" s="116"/>
    </row>
    <row r="2" spans="1:16" x14ac:dyDescent="0.2">
      <c r="A2" s="1" t="s">
        <v>2</v>
      </c>
      <c r="B2" s="1" t="s">
        <v>3</v>
      </c>
      <c r="D2" s="117" t="s">
        <v>4</v>
      </c>
      <c r="E2" s="118"/>
      <c r="F2" s="119" t="s">
        <v>5</v>
      </c>
      <c r="G2" s="120"/>
      <c r="I2" t="s">
        <v>6</v>
      </c>
      <c r="J2" t="s">
        <v>7</v>
      </c>
      <c r="K2" t="s">
        <v>8</v>
      </c>
      <c r="L2" t="s">
        <v>9</v>
      </c>
      <c r="M2" t="s">
        <v>10</v>
      </c>
      <c r="N2" t="s">
        <v>11</v>
      </c>
      <c r="O2" s="116"/>
      <c r="P2" s="116"/>
    </row>
    <row r="3" spans="1:16" x14ac:dyDescent="0.2">
      <c r="A3" s="1" t="b">
        <v>1</v>
      </c>
      <c r="B3" s="1" t="s">
        <v>12</v>
      </c>
      <c r="D3" s="2" t="s">
        <v>13</v>
      </c>
      <c r="E3" s="2" t="s">
        <v>14</v>
      </c>
      <c r="F3" s="2" t="s">
        <v>13</v>
      </c>
      <c r="G3" s="2" t="s">
        <v>14</v>
      </c>
      <c r="I3" s="1">
        <v>16</v>
      </c>
      <c r="J3" s="1">
        <v>11</v>
      </c>
      <c r="K3" s="1">
        <v>11</v>
      </c>
      <c r="L3" s="1" t="b">
        <v>1</v>
      </c>
      <c r="M3" s="1" t="b">
        <v>0</v>
      </c>
      <c r="N3" s="1" t="b">
        <v>1</v>
      </c>
      <c r="O3" s="116"/>
      <c r="P3" s="116"/>
    </row>
    <row r="4" spans="1:16" x14ac:dyDescent="0.2">
      <c r="A4" s="1" t="b">
        <v>0</v>
      </c>
      <c r="B4" s="1" t="s">
        <v>15</v>
      </c>
      <c r="D4" s="3" t="b" cm="1">
        <f t="array" aca="1" ref="D4" ca="1">OFFSET( BoolName, 0, 0, 1, 1)</f>
        <v>1</v>
      </c>
      <c r="E4" s="3" t="b" cm="1">
        <f t="array" aca="1" ref="E4" ca="1">OFFSET( BoolName, 1, 0, 1, 1)</f>
        <v>0</v>
      </c>
      <c r="F4" s="3" t="str">
        <f ca="1">OFFSET( YNTable[], 0, 0, 1, 1)</f>
        <v>Yes</v>
      </c>
      <c r="G4" s="3" t="str">
        <f ca="1">OFFSET( YNTable[], 1, 0, 1, 1)</f>
        <v>No</v>
      </c>
    </row>
    <row r="6" spans="1:16" x14ac:dyDescent="0.2">
      <c r="A6" s="1" t="s">
        <v>16</v>
      </c>
    </row>
    <row r="7" spans="1:16" x14ac:dyDescent="0.2">
      <c r="A7" s="1" t="s">
        <v>17</v>
      </c>
    </row>
  </sheetData>
  <mergeCells count="5">
    <mergeCell ref="A1:G1"/>
    <mergeCell ref="I1:N1"/>
    <mergeCell ref="O1:P3"/>
    <mergeCell ref="D2:E2"/>
    <mergeCell ref="F2:G2"/>
  </mergeCells>
  <dataValidations count="1">
    <dataValidation type="list" allowBlank="1" sqref="L3:N3" xr:uid="{3C74D6F8-4506-4B57-82EE-FFA1EEBFA496}">
      <formula1>BoolName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Styles">
                <anchor moveWithCells="1" sizeWithCells="1">
                  <from>
                    <xdr:col>14</xdr:col>
                    <xdr:colOff>228600</xdr:colOff>
                    <xdr:row>0</xdr:row>
                    <xdr:rowOff>104775</xdr:rowOff>
                  </from>
                  <to>
                    <xdr:col>15</xdr:col>
                    <xdr:colOff>571500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6">
    <tablePart r:id="rId5"/>
    <tablePart r:id="rId6"/>
    <tablePart r:id="rId7"/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D7DD2-85BB-4C58-9B8C-7E83F32E30B3}">
  <sheetPr codeName="Sheet1"/>
  <dimension ref="A1"/>
  <sheetViews>
    <sheetView workbookViewId="0">
      <selection activeCell="Q12" sqref="Q12"/>
    </sheetView>
  </sheetViews>
  <sheetFormatPr defaultRowHeight="14.25" x14ac:dyDescent="0.2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3916175-562B-4394-8F9A-D1F0F590B18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Key</vt:lpstr>
      <vt:lpstr>List</vt:lpstr>
      <vt:lpstr>Sheet1</vt:lpstr>
      <vt:lpstr>BoolName</vt:lpstr>
      <vt:lpstr>BoolYes</vt:lpstr>
      <vt:lpstr>CellFontSize_Override</vt:lpstr>
      <vt:lpstr>ChangeNormalSize_Override</vt:lpstr>
      <vt:lpstr>HeaderFontSize_Override</vt:lpstr>
      <vt:lpstr>SetsFont_Override</vt:lpstr>
      <vt:lpstr>SetsFormat_Override</vt:lpstr>
      <vt:lpstr>TitleFontSize_Override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Taylor</dc:creator>
  <cp:lastModifiedBy>Ryan Taylor</cp:lastModifiedBy>
  <dcterms:created xsi:type="dcterms:W3CDTF">2021-09-10T14:57:35Z</dcterms:created>
  <dcterms:modified xsi:type="dcterms:W3CDTF">2021-11-03T17:27:05Z</dcterms:modified>
</cp:coreProperties>
</file>